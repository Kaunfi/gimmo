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01_Paramètres_2026" sheetId="2" state="visible" r:id="rId4"/>
    <sheet name="02_Inputs_simulation" sheetId="3" state="visible" r:id="rId5"/>
    <sheet name="03_Micro_foncier" sheetId="4" state="visible" r:id="rId6"/>
    <sheet name="04_Réel_foncier" sheetId="5" state="visible" r:id="rId7"/>
    <sheet name="05_Micro_BIC_LMNP" sheetId="6" state="visible" r:id="rId8"/>
    <sheet name="06_Réel_BIC_LMNP" sheetId="7" state="visible" r:id="rId9"/>
    <sheet name="07_LMP" sheetId="8" state="visible" r:id="rId10"/>
    <sheet name="08_SCI_IR" sheetId="9" state="visible" r:id="rId11"/>
    <sheet name="09_SCI_IS" sheetId="10" state="visible" r:id="rId12"/>
    <sheet name="10_Pinel_Denormandie" sheetId="11" state="visible" r:id="rId13"/>
    <sheet name="11_Plus_values" sheetId="12" state="visible" r:id="rId14"/>
    <sheet name="12_Comparateur" sheetId="13" state="visible" r:id="rId15"/>
    <sheet name="13_Hypothèses_calcul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<sst xmlns="http://schemas.openxmlformats.org/spreadsheetml/2006/main" count="839" uniqueCount="737">
  <si>
    <t xml:space="preserve">CARTOGRAPHIE FISCALE IMMOBILIÈRE 2026</t>
  </si>
  <si>
    <t xml:space="preserve">Référentiel pour MVP simulateur fiscal - À valider par expert-comptable avant intégration</t>
  </si>
  <si>
    <t xml:space="preserve">FEUILLE</t>
  </si>
  <si>
    <t xml:space="preserve">CONTENU</t>
  </si>
  <si>
    <t xml:space="preserve">RÉGIME(S)</t>
  </si>
  <si>
    <t xml:space="preserve">USAGE MVP</t>
  </si>
  <si>
    <t xml:space="preserve">01_Paramètres_2026</t>
  </si>
  <si>
    <t xml:space="preserve">Tous les barèmes, seuils, taux LF 2026 + LFSS 2026</t>
  </si>
  <si>
    <t xml:space="preserve">Référentiel global</t>
  </si>
  <si>
    <t xml:space="preserve">Source unique de vérité - à mettre à jour chaque année</t>
  </si>
  <si>
    <t xml:space="preserve">02_Inputs_simulation</t>
  </si>
  <si>
    <t xml:space="preserve">Variables d'entrée utilisateur + caractéristiques bien</t>
  </si>
  <si>
    <t xml:space="preserve">Tous</t>
  </si>
  <si>
    <t xml:space="preserve">Cellules jaunes à brancher sur les champs UI</t>
  </si>
  <si>
    <t xml:space="preserve">03_Micro_foncier</t>
  </si>
  <si>
    <t xml:space="preserve">Location nue - régime forfaitaire 30%</t>
  </si>
  <si>
    <t xml:space="preserve">Particulier nom propre</t>
  </si>
  <si>
    <t xml:space="preserve">Cas le plus simple - bon point d'entrée pédagogique</t>
  </si>
  <si>
    <t xml:space="preserve">04_Réel_foncier</t>
  </si>
  <si>
    <t xml:space="preserve">Location nue - régime réel + déficit foncier</t>
  </si>
  <si>
    <t xml:space="preserve">Inclut mécanisme déficit foncier (10 700€/an)</t>
  </si>
  <si>
    <t xml:space="preserve">05_Micro_BIC_LMNP</t>
  </si>
  <si>
    <t xml:space="preserve">Location meublée - micro-BIC</t>
  </si>
  <si>
    <t xml:space="preserve">Abattement 50% (LD) ou 30% (tourisme NC)</t>
  </si>
  <si>
    <t xml:space="preserve">06_Réel_BIC_LMNP</t>
  </si>
  <si>
    <t xml:space="preserve">Location meublée - régime réel + amortissement</t>
  </si>
  <si>
    <t xml:space="preserve">Inclut amortissement bâti/mobilier + plus-value LF 2025</t>
  </si>
  <si>
    <t xml:space="preserve">07_LMP</t>
  </si>
  <si>
    <t xml:space="preserve">Loueur Meublé Professionnel</t>
  </si>
  <si>
    <t xml:space="preserve">Bascule auto si &gt; 23k€ ET &gt; autres revenus</t>
  </si>
  <si>
    <t xml:space="preserve">08_SCI_IR</t>
  </si>
  <si>
    <t xml:space="preserve">SCI translucide à l'IR</t>
  </si>
  <si>
    <t xml:space="preserve">Société civile</t>
  </si>
  <si>
    <t xml:space="preserve">Régime par défaut - imposition chez associés</t>
  </si>
  <si>
    <t xml:space="preserve">09_SCI_IS</t>
  </si>
  <si>
    <t xml:space="preserve">SCI à l'IS</t>
  </si>
  <si>
    <t xml:space="preserve">Option irrévocable - amortissement + IS 15/25%</t>
  </si>
  <si>
    <t xml:space="preserve">10_Pinel_Denormandie</t>
  </si>
  <si>
    <t xml:space="preserve">Réductions d'impôt (dispositifs en extinction)</t>
  </si>
  <si>
    <t xml:space="preserve">ATTENTION : Pinel arrêté 31/12/2024</t>
  </si>
  <si>
    <t xml:space="preserve">11_Plus_values</t>
  </si>
  <si>
    <t xml:space="preserve">Plus-values immobilières par régime</t>
  </si>
  <si>
    <t xml:space="preserve">Comparaison fiscalité de sortie</t>
  </si>
  <si>
    <t xml:space="preserve">12_Comparateur</t>
  </si>
  <si>
    <t xml:space="preserve">Tableau de synthèse multi-régimes côte-à-côte</t>
  </si>
  <si>
    <t xml:space="preserve">C'est l'écran de résultat utilisateur</t>
  </si>
  <si>
    <t xml:space="preserve">13_Hypothèses_calcul</t>
  </si>
  <si>
    <t xml:space="preserve">Conventions, durées d'amortissement, sources légales</t>
  </si>
  <si>
    <t xml:space="preserve">Documentation</t>
  </si>
  <si>
    <t xml:space="preserve">Pour audit expert-comptable</t>
  </si>
  <si>
    <t xml:space="preserve">⚠️ AVERTISSEMENTS</t>
  </si>
  <si>
    <t xml:space="preserve">1.</t>
  </si>
  <si>
    <t xml:space="preserve">Tous les calculs reposent sur les barèmes 2026 (LF n° 2026-103 du 19/02/2026 + LFSS 2026)</t>
  </si>
  <si>
    <t xml:space="preserve">2.</t>
  </si>
  <si>
    <t xml:space="preserve">Les optimisations fiscales personnalisées (démembrement, holding, donation parts) ne sont pas couvertes</t>
  </si>
  <si>
    <t xml:space="preserve">3.</t>
  </si>
  <si>
    <t xml:space="preserve">Le simulateur doit afficher un disclaimer : 'outil d'aide à la décision, ne remplace pas un conseil personnalisé'</t>
  </si>
  <si>
    <t xml:space="preserve">4.</t>
  </si>
  <si>
    <t xml:space="preserve">Faire valider chaque feuille par un expert-comptable ou avocat fiscaliste avant mise en production</t>
  </si>
  <si>
    <t xml:space="preserve">5.</t>
  </si>
  <si>
    <t xml:space="preserve">Le statut 'Bailleur Privé' (LF 2026) qui remplace partiellement Pinel n'est pas modélisé en V1 - décrets en attente</t>
  </si>
  <si>
    <t xml:space="preserve">PARAMÈTRES FISCAUX 2026 (revenus 2025 déclarés en 2026)</t>
  </si>
  <si>
    <t xml:space="preserve">BARÈME IMPÔT SUR LE REVENU 2026 (par part de quotient familial)</t>
  </si>
  <si>
    <t xml:space="preserve">Tranche</t>
  </si>
  <si>
    <t xml:space="preserve">Borne basse (€)</t>
  </si>
  <si>
    <t xml:space="preserve">Borne haute (€)</t>
  </si>
  <si>
    <t xml:space="preserve">Taux</t>
  </si>
  <si>
    <t xml:space="preserve">Source</t>
  </si>
  <si>
    <t xml:space="preserve">Tranche 1</t>
  </si>
  <si>
    <t xml:space="preserve">LF 2026 art. 4 - Tranche revalorisée +0,9%</t>
  </si>
  <si>
    <t xml:space="preserve">Tranche 2</t>
  </si>
  <si>
    <t xml:space="preserve">LF 2026 art. 4</t>
  </si>
  <si>
    <t xml:space="preserve">Tranche 3</t>
  </si>
  <si>
    <t xml:space="preserve">Tranche 4</t>
  </si>
  <si>
    <t xml:space="preserve">Tranche 5</t>
  </si>
  <si>
    <t xml:space="preserve">DÉCOTE 2026</t>
  </si>
  <si>
    <t xml:space="preserve">Paramètre</t>
  </si>
  <si>
    <t xml:space="preserve">Valeur</t>
  </si>
  <si>
    <t xml:space="preserve">Plafond impôt brut célibataire</t>
  </si>
  <si>
    <t xml:space="preserve">LF 2026</t>
  </si>
  <si>
    <t xml:space="preserve">Plafond impôt brut couple</t>
  </si>
  <si>
    <t xml:space="preserve">Forfait décote célibataire</t>
  </si>
  <si>
    <t xml:space="preserve">Forfait décote couple</t>
  </si>
  <si>
    <t xml:space="preserve">Taux décote</t>
  </si>
  <si>
    <t xml:space="preserve">Décote = forfait - 45,25% × IR brut</t>
  </si>
  <si>
    <t xml:space="preserve">PRÉLÈVEMENTS SOCIAUX 2026 (LFSS 2026 - hausse CSG 1,4 pt)</t>
  </si>
  <si>
    <t xml:space="preserve">Type de revenu</t>
  </si>
  <si>
    <t xml:space="preserve">Taux global PS</t>
  </si>
  <si>
    <t xml:space="preserve">CSG totale</t>
  </si>
  <si>
    <t xml:space="preserve">CSG déductible</t>
  </si>
  <si>
    <t xml:space="preserve">Revenus fonciers (location nue)</t>
  </si>
  <si>
    <t xml:space="preserve">EXCLU de la hausse - LFSS 2026 art. 12</t>
  </si>
  <si>
    <t xml:space="preserve">BIC LMNP non professionnel</t>
  </si>
  <si>
    <t xml:space="preserve">LFSS 2026 art. 12 (rétroactif rev. 2025)</t>
  </si>
  <si>
    <t xml:space="preserve">Plus-value immobilière</t>
  </si>
  <si>
    <t xml:space="preserve">EXCLU - non déductible</t>
  </si>
  <si>
    <t xml:space="preserve">Dividendes (SCI IS distribués)</t>
  </si>
  <si>
    <t xml:space="preserve">LFSS 2026 art. 12</t>
  </si>
  <si>
    <t xml:space="preserve">LMP (cotisations sociales TNS)</t>
  </si>
  <si>
    <t xml:space="preserve">Cotisations indép. ~30-45% selon CA</t>
  </si>
  <si>
    <t xml:space="preserve">SEUILS RÉGIMES MICRO 2026</t>
  </si>
  <si>
    <t xml:space="preserve">Régime</t>
  </si>
  <si>
    <t xml:space="preserve">Plafond CA (€)</t>
  </si>
  <si>
    <t xml:space="preserve">Abattement</t>
  </si>
  <si>
    <t xml:space="preserve">Plancher abat.</t>
  </si>
  <si>
    <t xml:space="preserve">Micro-foncier (location nue)</t>
  </si>
  <si>
    <t xml:space="preserve">Art. 32 CGI</t>
  </si>
  <si>
    <t xml:space="preserve">Micro-BIC location meublée LD</t>
  </si>
  <si>
    <t xml:space="preserve">Art. 50-0 CGI</t>
  </si>
  <si>
    <t xml:space="preserve">Micro-BIC meublé tourisme classé</t>
  </si>
  <si>
    <t xml:space="preserve">Loi Le Meur 2024 - reval. triennale</t>
  </si>
  <si>
    <t xml:space="preserve">Micro-BIC meublé tourisme NON classé</t>
  </si>
  <si>
    <t xml:space="preserve">Loi Le Meur 19/11/2024</t>
  </si>
  <si>
    <t xml:space="preserve">Seuil bascule LMP/LMNP (recettes)</t>
  </si>
  <si>
    <t xml:space="preserve">Art. 155 IV CGI - cumulatif foyer</t>
  </si>
  <si>
    <t xml:space="preserve">IMPÔT SUR LES SOCIÉTÉS 2026</t>
  </si>
  <si>
    <t xml:space="preserve">Source / Conditions</t>
  </si>
  <si>
    <t xml:space="preserve">Taux réduit PME</t>
  </si>
  <si>
    <t xml:space="preserve">CA &lt; 10M€, capital libéré, détention ≥75% personnes physiques</t>
  </si>
  <si>
    <t xml:space="preserve">Taux normal</t>
  </si>
  <si>
    <t xml:space="preserve">Art. 219 I CGI</t>
  </si>
  <si>
    <t xml:space="preserve">PLUS-VALUES IMMOBILIÈRES (régime particulier - art. 150 U CGI)</t>
  </si>
  <si>
    <t xml:space="preserve">Notes</t>
  </si>
  <si>
    <t xml:space="preserve">Taux IR plus-value</t>
  </si>
  <si>
    <t xml:space="preserve">Forfaitaire art. 200 B CGI</t>
  </si>
  <si>
    <t xml:space="preserve">Taux PS plus-value</t>
  </si>
  <si>
    <t xml:space="preserve">Pas de hausse LFSS 2026</t>
  </si>
  <si>
    <t xml:space="preserve">Abattement IR par an de détention (6e à 21e année)</t>
  </si>
  <si>
    <t xml:space="preserve">Soit 6% × 16 ans = 96%</t>
  </si>
  <si>
    <t xml:space="preserve">Abattement IR 22e année</t>
  </si>
  <si>
    <t xml:space="preserve">Total 100% à 22 ans</t>
  </si>
  <si>
    <t xml:space="preserve">Abattement PS par an (6e à 21e année)</t>
  </si>
  <si>
    <t xml:space="preserve">1,65% × 16 ans = 26,4%</t>
  </si>
  <si>
    <t xml:space="preserve">Abattement PS 22e année</t>
  </si>
  <si>
    <t xml:space="preserve">Abattement PS par an (23e à 30e année)</t>
  </si>
  <si>
    <t xml:space="preserve">9% × 8 ans = 72%, total 100% à 30 ans</t>
  </si>
  <si>
    <t xml:space="preserve">Abattement exceptionnel 'Bailleur Privé' LF 2026</t>
  </si>
  <si>
    <t xml:space="preserve">À paramétrer selon zone et engagement (décrets attendus)</t>
  </si>
  <si>
    <t xml:space="preserve">Surtaxe PV &gt; 50 000 €</t>
  </si>
  <si>
    <t xml:space="preserve">Min 2% jusqu'à 6% selon montant - art. 1609 nonies G</t>
  </si>
  <si>
    <t xml:space="preserve">Frais d'acquisition forfait</t>
  </si>
  <si>
    <t xml:space="preserve">À défaut de justificatifs</t>
  </si>
  <si>
    <t xml:space="preserve">Travaux forfait (&gt;5 ans détention)</t>
  </si>
  <si>
    <t xml:space="preserve">DURÉES D'AMORTISSEMENT LMNP / SCI IS</t>
  </si>
  <si>
    <t xml:space="preserve">Composant</t>
  </si>
  <si>
    <t xml:space="preserve">Quote-part prix</t>
  </si>
  <si>
    <t xml:space="preserve">Durée (années)</t>
  </si>
  <si>
    <t xml:space="preserve">Taux annuel</t>
  </si>
  <si>
    <t xml:space="preserve">Terrain (NON amortissable)</t>
  </si>
  <si>
    <t xml:space="preserve">Conventionnel 10-20%, varie selon localisation</t>
  </si>
  <si>
    <t xml:space="preserve">Gros œuvre</t>
  </si>
  <si>
    <t xml:space="preserve">Composant principal du bâti</t>
  </si>
  <si>
    <t xml:space="preserve">Façade / Étanchéité</t>
  </si>
  <si>
    <t xml:space="preserve">Installations techniques (chauffage, plomberie)</t>
  </si>
  <si>
    <t xml:space="preserve">Agencements / Aménagements intérieurs</t>
  </si>
  <si>
    <t xml:space="preserve">Mobilier (LMNP uniquement)</t>
  </si>
  <si>
    <t xml:space="preserve">Sur valeur du mobilier - 5 à 10 ans selon item</t>
  </si>
  <si>
    <t xml:space="preserve">Travaux d'amélioration</t>
  </si>
  <si>
    <t xml:space="preserve">Selon nature - 10 à 25 ans</t>
  </si>
  <si>
    <t xml:space="preserve">DÉFICIT FONCIER (location nue - régime réel)</t>
  </si>
  <si>
    <t xml:space="preserve">Plafond imputation revenu global</t>
  </si>
  <si>
    <t xml:space="preserve">Art. 156 I-3° CGI</t>
  </si>
  <si>
    <t xml:space="preserve">Plafond doublé travaux énergétiques (jusqu'au 31/12/2025)</t>
  </si>
  <si>
    <t xml:space="preserve">LF 2023 - prorogation possible</t>
  </si>
  <si>
    <t xml:space="preserve">Durée report déficit excédentaire (sur revenus fonciers)</t>
  </si>
  <si>
    <t xml:space="preserve">En années</t>
  </si>
  <si>
    <t xml:space="preserve">Obligation maintien location</t>
  </si>
  <si>
    <t xml:space="preserve">Années suivant l'imputation</t>
  </si>
  <si>
    <t xml:space="preserve">VARIABLES D'ENTRÉE - SIMULATION UTILISATEUR</t>
  </si>
  <si>
    <t xml:space="preserve">Cellules JAUNES = inputs utilisateur. Toutes les feuilles régimes pointent vers ces cellules.</t>
  </si>
  <si>
    <t xml:space="preserve">§ SITUATION PERSONNELLE</t>
  </si>
  <si>
    <t xml:space="preserve">TMI estimée du foyer</t>
  </si>
  <si>
    <t xml:space="preserve">%</t>
  </si>
  <si>
    <t xml:space="preserve">Calculée depuis revenus déclarés - inputs UI</t>
  </si>
  <si>
    <t xml:space="preserve">Nombre de parts fiscales</t>
  </si>
  <si>
    <t xml:space="preserve">parts</t>
  </si>
  <si>
    <t xml:space="preserve">Quotient familial</t>
  </si>
  <si>
    <t xml:space="preserve">Revenu net imposable hors immo</t>
  </si>
  <si>
    <t xml:space="preserve">€/an</t>
  </si>
  <si>
    <t xml:space="preserve">Hors revenus locatifs</t>
  </si>
  <si>
    <t xml:space="preserve">§ CARACTÉRISTIQUES DU BIEN</t>
  </si>
  <si>
    <t xml:space="preserve">Prix d'acquisition (FAI)</t>
  </si>
  <si>
    <t xml:space="preserve">€</t>
  </si>
  <si>
    <t xml:space="preserve">Frais d'agence inclus</t>
  </si>
  <si>
    <t xml:space="preserve">Frais de notaire</t>
  </si>
  <si>
    <t xml:space="preserve">≈ 7% ancien, 2-3% neuf</t>
  </si>
  <si>
    <t xml:space="preserve">Travaux initiaux</t>
  </si>
  <si>
    <t xml:space="preserve">Travaux à l'achat</t>
  </si>
  <si>
    <t xml:space="preserve">Mobilier (si meublé)</t>
  </si>
  <si>
    <t xml:space="preserve">Pour LMNP uniquement</t>
  </si>
  <si>
    <t xml:space="preserve">Quote-part terrain</t>
  </si>
  <si>
    <t xml:space="preserve">Non amortissable</t>
  </si>
  <si>
    <t xml:space="preserve">§ FINANCEMENT</t>
  </si>
  <si>
    <t xml:space="preserve">Apport personnel</t>
  </si>
  <si>
    <t xml:space="preserve">Montant emprunté</t>
  </si>
  <si>
    <t xml:space="preserve">(prix + frais + travaux - apport)</t>
  </si>
  <si>
    <t xml:space="preserve">Taux d'intérêt</t>
  </si>
  <si>
    <t xml:space="preserve">Taux nominal hors assurance</t>
  </si>
  <si>
    <t xml:space="preserve">Durée emprunt</t>
  </si>
  <si>
    <t xml:space="preserve">années</t>
  </si>
  <si>
    <t xml:space="preserve">Taux assurance emprunt</t>
  </si>
  <si>
    <t xml:space="preserve">≈ 0,30 à 0,40% du capital initial</t>
  </si>
  <si>
    <t xml:space="preserve">§ EXPLOITATION ANNUELLE</t>
  </si>
  <si>
    <t xml:space="preserve">Loyer mensuel HC</t>
  </si>
  <si>
    <t xml:space="preserve">€/mois</t>
  </si>
  <si>
    <t xml:space="preserve">Hors charges</t>
  </si>
  <si>
    <t xml:space="preserve">Loyer annuel brut</t>
  </si>
  <si>
    <t xml:space="preserve">(mensuel × 12)</t>
  </si>
  <si>
    <t xml:space="preserve">Vacance locative estimée</t>
  </si>
  <si>
    <t xml:space="preserve">≈ 1 mois sur 24</t>
  </si>
  <si>
    <t xml:space="preserve">Charges non récupérables</t>
  </si>
  <si>
    <t xml:space="preserve">Copropriété part propriétaire</t>
  </si>
  <si>
    <t xml:space="preserve">Taxe foncière</t>
  </si>
  <si>
    <t xml:space="preserve">Assurance PNO</t>
  </si>
  <si>
    <t xml:space="preserve">Propriétaire non occupant</t>
  </si>
  <si>
    <t xml:space="preserve">Frais de gestion</t>
  </si>
  <si>
    <t xml:space="preserve">Si délégation à agence (~7-8% loyers)</t>
  </si>
  <si>
    <t xml:space="preserve">Travaux d'entretien (provision)</t>
  </si>
  <si>
    <t xml:space="preserve">≈ 5% du loyer brut</t>
  </si>
  <si>
    <t xml:space="preserve">Comptable (LMNP réel / SCI)</t>
  </si>
  <si>
    <t xml:space="preserve">≈ 500-1000€/an</t>
  </si>
  <si>
    <t xml:space="preserve">§ HORIZON DE DÉTENTION</t>
  </si>
  <si>
    <t xml:space="preserve">Durée de détention envisagée</t>
  </si>
  <si>
    <t xml:space="preserve">Pour calcul plus-value</t>
  </si>
  <si>
    <t xml:space="preserve">Valorisation annuelle estimée</t>
  </si>
  <si>
    <t xml:space="preserve">Hypothèse appréciation bien</t>
  </si>
  <si>
    <t xml:space="preserve">RÉGIME MICRO-FONCIER (location nue)</t>
  </si>
  <si>
    <t xml:space="preserve">Conditions: revenus fonciers bruts ≤ 15 000 €/an + bien NON soumis à régime particulier (Borloo, Pinel, monuments historiques)</t>
  </si>
  <si>
    <t xml:space="preserve">1. RECETTES &amp; ASSIETTE IMPOSABLE</t>
  </si>
  <si>
    <t xml:space="preserve">Loyer brut annuel</t>
  </si>
  <si>
    <t xml:space="preserve">Cf. 02_Inputs B25</t>
  </si>
  <si>
    <t xml:space="preserve">Vacance locative</t>
  </si>
  <si>
    <t xml:space="preserve">(-loyer × taux vacance)</t>
  </si>
  <si>
    <t xml:space="preserve">Recettes nettes</t>
  </si>
  <si>
    <t xml:space="preserve">Base imposable BRUTE</t>
  </si>
  <si>
    <t xml:space="preserve">Vérif. seuil 15 000 €</t>
  </si>
  <si>
    <t xml:space="preserve">Abattement forfaitaire (30%)</t>
  </si>
  <si>
    <t xml:space="preserve">Réputé couvrir TOUTES les charges</t>
  </si>
  <si>
    <t xml:space="preserve">Revenu foncier imposable</t>
  </si>
  <si>
    <t xml:space="preserve">(base IR + base PS)</t>
  </si>
  <si>
    <t xml:space="preserve">2. IMPÔT SUR LE REVENU</t>
  </si>
  <si>
    <t xml:space="preserve">TMI applicable</t>
  </si>
  <si>
    <t xml:space="preserve">IR sur revenu foncier</t>
  </si>
  <si>
    <t xml:space="preserve">Approximation TMI - calcul exact via barème complet sur 12_Comparateur</t>
  </si>
  <si>
    <t xml:space="preserve">3. PRÉLÈVEMENTS SOCIAUX</t>
  </si>
  <si>
    <t xml:space="preserve">Taux PS (location nue)</t>
  </si>
  <si>
    <t xml:space="preserve">EXCLU hausse LFSS 2026</t>
  </si>
  <si>
    <t xml:space="preserve">Montant PS</t>
  </si>
  <si>
    <t xml:space="preserve">4. CHARGE FISCALE TOTALE</t>
  </si>
  <si>
    <t xml:space="preserve">IR + PS</t>
  </si>
  <si>
    <t xml:space="preserve">Taux d'imposition effectif</t>
  </si>
  <si>
    <t xml:space="preserve">5. CASH-FLOW NET ANNUEL</t>
  </si>
  <si>
    <t xml:space="preserve">- Charges réelles (NON déductibles ici)</t>
  </si>
  <si>
    <t xml:space="preserve">Subies mais non déduites fiscalement</t>
  </si>
  <si>
    <t xml:space="preserve">- Mensualités emprunt (capital + intérêts)</t>
  </si>
  <si>
    <t xml:space="preserve">PMT calcule la mensualité d'emprunt assurance incluse</t>
  </si>
  <si>
    <t xml:space="preserve">- IR + PS</t>
  </si>
  <si>
    <t xml:space="preserve">(Cash-flow net annuel)</t>
  </si>
  <si>
    <t xml:space="preserve">6. AVANTAGES / INCONVÉNIENTS</t>
  </si>
  <si>
    <t xml:space="preserve">✓ Simplicité maximale (1 case sur déclaration 2042 - case 4BE)</t>
  </si>
  <si>
    <t xml:space="preserve">✓ Pas d'obligation comptable</t>
  </si>
  <si>
    <t xml:space="preserve">✓ Pas de gestion de déficit foncier</t>
  </si>
  <si>
    <t xml:space="preserve">✗ Aucune charge déductible (tout est forfaitaire à 30%)</t>
  </si>
  <si>
    <t xml:space="preserve">✗ Inadapté si charges réelles &gt; 30% des loyers (typiquement avec emprunt en cours)</t>
  </si>
  <si>
    <t xml:space="preserve">✗ Plafonné à 15 000 € de recettes annuelles</t>
  </si>
  <si>
    <t xml:space="preserve">✗ Pas d'amortissement possible</t>
  </si>
  <si>
    <t xml:space="preserve">→ Pertinent pour : bien sans emprunt, charges très faibles, simplicité prioritaire</t>
  </si>
  <si>
    <t xml:space="preserve">RÉGIME RÉEL FONCIER (location nue)</t>
  </si>
  <si>
    <t xml:space="preserve">Sur option ou obligatoire si recettes &gt; 15 000 €/an. Toutes charges réelles déductibles + déficit foncier imputable.</t>
  </si>
  <si>
    <t xml:space="preserve">1. RECETTES</t>
  </si>
  <si>
    <t xml:space="preserve">Vacance</t>
  </si>
  <si>
    <t xml:space="preserve">2. CHARGES DÉDUCTIBLES (art. 31 CGI)</t>
  </si>
  <si>
    <t xml:space="preserve">Charges de copropriété non récupérables</t>
  </si>
  <si>
    <t xml:space="preserve">Travaux d'entretien et réparation</t>
  </si>
  <si>
    <t xml:space="preserve">Travaux d'AMÉLIORATION = OUI ; CONSTRUCTION/AGRANDISSEMENT = NON</t>
  </si>
  <si>
    <t xml:space="preserve">Intérêts d'emprunt + assurance</t>
  </si>
  <si>
    <t xml:space="preserve">Approximation 1ère année - en réalité dégressif</t>
  </si>
  <si>
    <t xml:space="preserve">Forfait frais de gestion (20 €/local)</t>
  </si>
  <si>
    <t xml:space="preserve">Forfaitaire art. 31-I-1°-c</t>
  </si>
  <si>
    <t xml:space="preserve">Total charges</t>
  </si>
  <si>
    <t xml:space="preserve">3. RÉSULTAT FONCIER</t>
  </si>
  <si>
    <t xml:space="preserve">Résultat foncier brut</t>
  </si>
  <si>
    <t xml:space="preserve">Si négatif → déficit foncier</t>
  </si>
  <si>
    <t xml:space="preserve">Dont intérêts d'emprunt (à isoler)</t>
  </si>
  <si>
    <t xml:space="preserve">Les intérêts ne s'imputent PAS sur le revenu global</t>
  </si>
  <si>
    <t xml:space="preserve">Déficit hors intérêts</t>
  </si>
  <si>
    <t xml:space="preserve">Imputable sur revenu global jusqu'à 10 700 €</t>
  </si>
  <si>
    <t xml:space="preserve">Déficit imputé sur revenu global</t>
  </si>
  <si>
    <t xml:space="preserve">Déficit reportable (10 ans)</t>
  </si>
  <si>
    <t xml:space="preserve">Reportable sur revenus fonciers UNIQUEMENT pdt 10 ans</t>
  </si>
  <si>
    <t xml:space="preserve">Revenu foncier imposable (si positif)</t>
  </si>
  <si>
    <t xml:space="preserve">4. IMPACT FISCAL ANNÉE COURANTE</t>
  </si>
  <si>
    <t xml:space="preserve">TMI</t>
  </si>
  <si>
    <t xml:space="preserve">IR sur revenu foncier (si positif)</t>
  </si>
  <si>
    <t xml:space="preserve">Économie IR via déficit (si négatif)</t>
  </si>
  <si>
    <t xml:space="preserve">Imputation sur revenu global</t>
  </si>
  <si>
    <t xml:space="preserve">PS sur revenu foncier</t>
  </si>
  <si>
    <t xml:space="preserve">PS économisés (déficit ne génère PAS d'éco PS)</t>
  </si>
  <si>
    <t xml:space="preserve">PS uniquement sur revenus positifs</t>
  </si>
  <si>
    <t xml:space="preserve">5. CHARGE FISCALE NETTE</t>
  </si>
  <si>
    <t xml:space="preserve">Total IR + PS (ou économie si déficit)</t>
  </si>
  <si>
    <t xml:space="preserve">Taux d'imposition effectif sur loyers</t>
  </si>
  <si>
    <t xml:space="preserve">6. POINTS-CLÉS DU RÉGIME</t>
  </si>
  <si>
    <t xml:space="preserve">✓ Toutes charges réelles déductibles (intérêts, travaux, taxe foncière, etc.)</t>
  </si>
  <si>
    <t xml:space="preserve">✓ Mécanisme du déficit foncier puissant : 10 700 €/an sur revenu global, doublé en cas travaux énergétiques (jusqu'au 31/12/2025)</t>
  </si>
  <si>
    <t xml:space="preserve">✓ Déficit excédentaire reportable 10 ans sur revenus fonciers</t>
  </si>
  <si>
    <t xml:space="preserve">✓ Engagement: maintenir location 3 ans après imputation du déficit</t>
  </si>
  <si>
    <t xml:space="preserve">✗ Comptabilité plus lourde - déclaration 2044</t>
  </si>
  <si>
    <t xml:space="preserve">✗ Choix engageant : option pour 3 ans minimum</t>
  </si>
  <si>
    <t xml:space="preserve">✗ Travaux d'agrandissement/construction NON déductibles</t>
  </si>
  <si>
    <t xml:space="preserve">→ Pertinent pour : biens avec charges importantes, gros travaux, emprunt en cours</t>
  </si>
  <si>
    <t xml:space="preserve">MICRO-BIC LMNP (location meublée)</t>
  </si>
  <si>
    <t xml:space="preserve">Régime forfaitaire BIC - abattement 50% en location meublée longue durée</t>
  </si>
  <si>
    <t xml:space="preserve">Loyer brut annuel meublé</t>
  </si>
  <si>
    <t xml:space="preserve">ATTENTION : si meublé, le loyer doit déjà être 'meublé' (10-30% &gt; nu)</t>
  </si>
  <si>
    <t xml:space="preserve">Vérif. seuil 77 700 €</t>
  </si>
  <si>
    <t xml:space="preserve">Vérif. seuil LMP 23 000 €</t>
  </si>
  <si>
    <t xml:space="preserve">LMP si recettes &gt; 23k€ ET &gt; autres revenus pro foyer</t>
  </si>
  <si>
    <t xml:space="preserve">2. ASSIETTE IMPOSABLE</t>
  </si>
  <si>
    <t xml:space="preserve">Abattement forfaitaire (50%)</t>
  </si>
  <si>
    <t xml:space="preserve">Réputé couvrir TOUTES charges + amortissements</t>
  </si>
  <si>
    <t xml:space="preserve">Bénéfice imposable BIC</t>
  </si>
  <si>
    <t xml:space="preserve">3. IMPÔT SUR LE REVENU</t>
  </si>
  <si>
    <t xml:space="preserve">IR sur bénéfice BIC</t>
  </si>
  <si>
    <t xml:space="preserve">4. PRÉLÈVEMENTS SOCIAUX</t>
  </si>
  <si>
    <t xml:space="preserve">Taux PS (LMNP - hausse LFSS 2026)</t>
  </si>
  <si>
    <t xml:space="preserve">18,6% depuis LFSS 2026 - rétroactif rev. 2025</t>
  </si>
  <si>
    <t xml:space="preserve">5. CHARGE FISCALE TOTALE</t>
  </si>
  <si>
    <t xml:space="preserve">6. CAS PARTICULIER : MEUBLÉ DE TOURISME NON CLASSÉ</t>
  </si>
  <si>
    <t xml:space="preserve">Abattement (au lieu de 50%)</t>
  </si>
  <si>
    <t xml:space="preserve">Plafond (au lieu de 77 700)</t>
  </si>
  <si>
    <t xml:space="preserve">Bénéfice imposable (tourisme NC)</t>
  </si>
  <si>
    <t xml:space="preserve">IR + PS (tourisme NC)</t>
  </si>
  <si>
    <t xml:space="preserve">7. POINTS-CLÉS</t>
  </si>
  <si>
    <t xml:space="preserve">✓ Simplicité maximale (case 5ND déclaration 2042-C-PRO)</t>
  </si>
  <si>
    <t xml:space="preserve">✓ Abattement 50% souvent supérieur aux charges réelles SANS emprunt</t>
  </si>
  <si>
    <t xml:space="preserve">✓ Pas d'obligation comptable (mais création EI + SIRET via INPI obligatoire)</t>
  </si>
  <si>
    <t xml:space="preserve">✗ Inadapté SI emprunt en cours (réel + amortissement bien plus avantageux)</t>
  </si>
  <si>
    <t xml:space="preserve">✗ Réforme Loi Le Meur (11/2024) : meublés tourisme NON classés rabaissés à 15k€/30%</t>
  </si>
  <si>
    <t xml:space="preserve">✗ Les amortissements pratiqués au régime réel sont réintégrés dans la PV à la revente (LF 2025)</t>
  </si>
  <si>
    <t xml:space="preserve">→ Pertinent pour : petits revenus locatifs SANS emprunt, simplicité prioritaire</t>
  </si>
  <si>
    <t xml:space="preserve">RÉGIME RÉEL LMNP (location meublée)</t>
  </si>
  <si>
    <t xml:space="preserve">Sur option ou obligatoire si &gt; 77 700 €. Amortissement bâti+mobilier = neutralisation fiscale puissante.</t>
  </si>
  <si>
    <t xml:space="preserve">2. CHARGES DÉDUCTIBLES</t>
  </si>
  <si>
    <t xml:space="preserve">Charges copropriété</t>
  </si>
  <si>
    <t xml:space="preserve">Travaux d'entretien</t>
  </si>
  <si>
    <t xml:space="preserve">Honoraires comptable</t>
  </si>
  <si>
    <t xml:space="preserve">Intérêts emprunt + assurance</t>
  </si>
  <si>
    <t xml:space="preserve">CFE (Cotisation Foncière Entreprises)</t>
  </si>
  <si>
    <t xml:space="preserve">Variable selon commune ~200-800€/an</t>
  </si>
  <si>
    <t xml:space="preserve">Total charges courantes</t>
  </si>
  <si>
    <t xml:space="preserve">3. AMORTISSEMENTS</t>
  </si>
  <si>
    <t xml:space="preserve">Base amortissable totale</t>
  </si>
  <si>
    <t xml:space="preserve">Prix + frais + travaux (intégrés à la base)</t>
  </si>
  <si>
    <t xml:space="preserve">Quote-part terrain (NON amortissable)</t>
  </si>
  <si>
    <t xml:space="preserve">Base amortissable bâti</t>
  </si>
  <si>
    <t xml:space="preserve">Gros œuvre (40% / 80 ans)</t>
  </si>
  <si>
    <t xml:space="preserve">Façade/étanchéité (10% / 30 ans)</t>
  </si>
  <si>
    <t xml:space="preserve">Installations techniques (20% / 25 ans)</t>
  </si>
  <si>
    <t xml:space="preserve">Agencements (15% / 15 ans)</t>
  </si>
  <si>
    <t xml:space="preserve">Autres (15%)</t>
  </si>
  <si>
    <t xml:space="preserve">Moyenne pondérée résiduel</t>
  </si>
  <si>
    <t xml:space="preserve">Amortissement bâti annuel</t>
  </si>
  <si>
    <t xml:space="preserve">Amortissement mobilier (sur 7 ans)</t>
  </si>
  <si>
    <t xml:space="preserve">Total amortissements annuels</t>
  </si>
  <si>
    <t xml:space="preserve">4. RÉSULTAT BIC</t>
  </si>
  <si>
    <t xml:space="preserve">Résultat AVANT amortissement</t>
  </si>
  <si>
    <t xml:space="preserve">Résultat APRÈS amortissement (théorique)</t>
  </si>
  <si>
    <t xml:space="preserve">Souvent négatif → 0 € imposable</t>
  </si>
  <si>
    <t xml:space="preserve">Règle anti-déficit LMNP</t>
  </si>
  <si>
    <t xml:space="preserve">Amortissement plafonné au résultat avant amort. - excédent reporté</t>
  </si>
  <si>
    <t xml:space="preserve">Amortissement utilisé année courante</t>
  </si>
  <si>
    <t xml:space="preserve">Différence reportable indéfiniment</t>
  </si>
  <si>
    <t xml:space="preserve">Amortissement reportable</t>
  </si>
  <si>
    <t xml:space="preserve">Cumul reportable sans limite (vs déficit foncier 10 ans)</t>
  </si>
  <si>
    <t xml:space="preserve">5. IMPÔT</t>
  </si>
  <si>
    <t xml:space="preserve">PS (18,6% LFSS 2026)</t>
  </si>
  <si>
    <t xml:space="preserve">Total IR + PS</t>
  </si>
  <si>
    <t xml:space="preserve">Taux effectif sur loyers</t>
  </si>
  <si>
    <t xml:space="preserve">6. IMPACT PLUS-VALUE À LA REVENTE (LF 2025)</t>
  </si>
  <si>
    <t xml:space="preserve">⚠ RÉFORME MAJEURE LF 2025 : les amortissements pratiqués sont DÉSORMAIS réintégrés dans le calcul de la plus-value à la revente</t>
  </si>
  <si>
    <t xml:space="preserve">Plus-value imposable = Prix de cession - (Prix d'acquisition - Amortissements pratiqués)</t>
  </si>
  <si>
    <t xml:space="preserve">Avant 2025 : avantage majeur du LMNP - amortissements sans contrepartie à la sortie</t>
  </si>
  <si>
    <t xml:space="preserve">Depuis 2025 : alignement partiel sur le régime BIC pro - néanmoins LMNP reste compétitif sur la phase de détention</t>
  </si>
  <si>
    <t xml:space="preserve">⚠ EXCEPTIONS : résidences services (bail commercial) - réintégration NON applicable</t>
  </si>
  <si>
    <t xml:space="preserve">Le simulateur DOIT clairement afficher cet impact dans la projection à la revente</t>
  </si>
  <si>
    <t xml:space="preserve">✓ Amortissement neutralise souvent l'imposition pendant 15-25 ans</t>
  </si>
  <si>
    <t xml:space="preserve">✓ Charges réelles déductibles (intérêts, travaux, comptable, etc.)</t>
  </si>
  <si>
    <t xml:space="preserve">✓ Amortissement reportable SANS LIMITE (vs déficit foncier limité 10 ans)</t>
  </si>
  <si>
    <t xml:space="preserve">✓ Idéal pour investisseurs avec emprunt en cours et apport limité</t>
  </si>
  <si>
    <t xml:space="preserve">✗ Comptabilité obligatoire - expert-comptable quasi indispensable (~600-1000€/an)</t>
  </si>
  <si>
    <t xml:space="preserve">✗ Hausse PS à 18,6% depuis LFSS 2026 (vs 17,2% pour location nue)</t>
  </si>
  <si>
    <t xml:space="preserve">✗ Réforme LF 2025 : réintégration amortissements dans plus-value à la revente</t>
  </si>
  <si>
    <t xml:space="preserve">✗ Création EI + SIRET INPI obligatoire</t>
  </si>
  <si>
    <t xml:space="preserve">→ Pertinent pour : meublé avec emprunt, horizon long, recherche cash-flow net élevé</t>
  </si>
  <si>
    <t xml:space="preserve">LMP - LOUEUR MEUBLÉ PROFESSIONNEL</t>
  </si>
  <si>
    <t xml:space="preserve">Bascule automatique si recettes &gt; 23 000 € ET &gt; autres revenus pro foyer (art. 155 IV CGI)</t>
  </si>
  <si>
    <t xml:space="preserve">1. CONDITIONS D'ÉLIGIBILITÉ LMP</t>
  </si>
  <si>
    <t xml:space="preserve">Recettes annuelles meublé</t>
  </si>
  <si>
    <t xml:space="preserve">Autres revenus pro foyer (BIC/BNC/BA/salaires)</t>
  </si>
  <si>
    <t xml:space="preserve">'02_Inputs_simulation'!$B$7</t>
  </si>
  <si>
    <t xml:space="preserve">(revenu hors immo - cf. inputs)</t>
  </si>
  <si>
    <t xml:space="preserve">Condition 1 : recettes &gt; 23 000 €</t>
  </si>
  <si>
    <t xml:space="preserve">Condition 2 : recettes &gt; autres revenus</t>
  </si>
  <si>
    <t xml:space="preserve">STATUT FINAL</t>
  </si>
  <si>
    <t xml:space="preserve">2. CALCUL FISCAL (similaire LMNP réel)</t>
  </si>
  <si>
    <t xml:space="preserve">Charges courantes (cf. 06_LMNP réel)</t>
  </si>
  <si>
    <t xml:space="preserve">Amortissements</t>
  </si>
  <si>
    <t xml:space="preserve">Résultat avant amort</t>
  </si>
  <si>
    <t xml:space="preserve">Résultat après amort (théorique)</t>
  </si>
  <si>
    <t xml:space="preserve">Bénéfice imposable</t>
  </si>
  <si>
    <t xml:space="preserve">Règle anti-déficit s'applique aussi en LMP</t>
  </si>
  <si>
    <t xml:space="preserve">3. SPÉCIFICITÉS LMP - DIFFÉRENCES MAJEURES vs LMNP</t>
  </si>
  <si>
    <t xml:space="preserve">IR sur bénéfice</t>
  </si>
  <si>
    <t xml:space="preserve">Cotisations sociales TNS (~30-45%)</t>
  </si>
  <si>
    <t xml:space="preserve">ATTENTION : assujettissement SSI (ex-RSI) à la place des PS 18,6%</t>
  </si>
  <si>
    <t xml:space="preserve">Pas de PS 18,6% en LMP</t>
  </si>
  <si>
    <t xml:space="preserve">Total prélèvements</t>
  </si>
  <si>
    <t xml:space="preserve">4. AVANTAGES LMP MAJEURS</t>
  </si>
  <si>
    <t xml:space="preserve">✓ Déficit BIC imputable sur le revenu GLOBAL sans plafond (vs 10 700€ déficit foncier)</t>
  </si>
  <si>
    <t xml:space="preserve">✓ Plus-value PROFESSIONNELLE : exonération TOTALE après 5 ans si recettes &lt; 90k€/250k€</t>
  </si>
  <si>
    <t xml:space="preserve">✓ Pas de réintégration des amortissements dans la plus-value (vs réforme LMNP LF 2025)</t>
  </si>
  <si>
    <t xml:space="preserve">✓ Exonération IFI sur biens donnés en location meublée pro</t>
  </si>
  <si>
    <t xml:space="preserve">✗ Cotisations sociales SSI lourdes (~30-45% du résultat) - parfois &gt; PS 18,6% LMNP</t>
  </si>
  <si>
    <t xml:space="preserve">✗ Affiliation obligatoire à la sécurité sociale des indépendants</t>
  </si>
  <si>
    <t xml:space="preserve">✗ Comptabilité plus lourde, obligation BIC pro complète</t>
  </si>
  <si>
    <t xml:space="preserve">⚠ Bascule LMP/LMNP est AUTOMATIQUE - vérifier seuils chaque année</t>
  </si>
  <si>
    <t xml:space="preserve">→ Pertinent pour : gros patrimoine meublé, optimisation transmission, cash-flow significatif</t>
  </si>
  <si>
    <t xml:space="preserve">SCI À L'IMPÔT SUR LE REVENU (régime par défaut)</t>
  </si>
  <si>
    <t xml:space="preserve">Société transparente fiscalement - imposition chez les associés au prorata des parts</t>
  </si>
  <si>
    <t xml:space="preserve">1. NATURE DU RÉGIME</t>
  </si>
  <si>
    <t xml:space="preserve">Une SCI n'a pas de fiscalité propre en IR - elle est translucide</t>
  </si>
  <si>
    <t xml:space="preserve">Chaque associé est imposé sur sa quote-part de bénéfice = comme s'il détenait le bien en direct</t>
  </si>
  <si>
    <t xml:space="preserve">Mais SOUS CONDITION : la SCI ne doit faire QUE de la location nue (pas de meublé sauf accessoire)</t>
  </si>
  <si>
    <t xml:space="preserve">Si meublé → bascule automatique à l'IS irrévocable</t>
  </si>
  <si>
    <t xml:space="preserve">Application du régime des revenus fonciers (cf. 03 micro-foncier ou 04 réel foncier)</t>
  </si>
  <si>
    <t xml:space="preserve">2. CALCUL SIMPLIFIÉ (associé unique 100%)</t>
  </si>
  <si>
    <t xml:space="preserve">Loyer brut annuel SCI</t>
  </si>
  <si>
    <t xml:space="preserve">Charges courantes</t>
  </si>
  <si>
    <t xml:space="preserve">Intérêts emprunt</t>
  </si>
  <si>
    <t xml:space="preserve">Honoraires comptable SCI</t>
  </si>
  <si>
    <t xml:space="preserve">Résultat foncier SCI</t>
  </si>
  <si>
    <t xml:space="preserve">3. RÉPARTITION ENTRE ASSOCIÉS</t>
  </si>
  <si>
    <t xml:space="preserve">Quote-part associé principal</t>
  </si>
  <si>
    <t xml:space="preserve">100% par défaut</t>
  </si>
  <si>
    <t xml:space="preserve">Revenu foncier imputé à l'associé</t>
  </si>
  <si>
    <t xml:space="preserve">4. IMPOSITION ASSOCIÉ</t>
  </si>
  <si>
    <t xml:space="preserve">TMI associé</t>
  </si>
  <si>
    <t xml:space="preserve">PS (17,2% maintenu)</t>
  </si>
  <si>
    <t xml:space="preserve">Économie IR si déficit (limité 10 700€)</t>
  </si>
  <si>
    <t xml:space="preserve">Total IR + PS (ou éco)</t>
  </si>
  <si>
    <t xml:space="preserve">5. CAS PARTICULIER : MULTI-ASSOCIÉS</t>
  </si>
  <si>
    <t xml:space="preserve">Si SCI familiale 4 associés à 25% chacun : chaque associé déclare 1/4 du résultat</t>
  </si>
  <si>
    <t xml:space="preserve">TMI APPLIQUÉE = celle de chaque associé individuellement (pas une TMI moyenne)</t>
  </si>
  <si>
    <t xml:space="preserve">INTÉRÊT : démembrer parts pour donation, transmission progressive aux enfants</t>
  </si>
  <si>
    <t xml:space="preserve">Démembrement : usufruitier paie l'IR sur les loyers, nu-propriétaire ne paie rien</t>
  </si>
  <si>
    <t xml:space="preserve">ATTENTION : un associé sans revenu paye quand même les PS (17,2%)</t>
  </si>
  <si>
    <t xml:space="preserve">6. POINTS-CLÉS SCI IR</t>
  </si>
  <si>
    <t xml:space="preserve">✓ Régime simple, transparent, identique à la détention en direct</t>
  </si>
  <si>
    <t xml:space="preserve">✓ Idéal pour patrimoine familial : transmission, donation parts, démembrement</t>
  </si>
  <si>
    <t xml:space="preserve">✓ Mécanisme du déficit foncier disponible (10 700 € sur revenu global)</t>
  </si>
  <si>
    <t xml:space="preserve">✓ PS maintenus à 17,2% (vs 18,6% LMNP)</t>
  </si>
  <si>
    <t xml:space="preserve">✓ Pas d'amortissement = plus-value à la revente classique (régime PV particuliers)</t>
  </si>
  <si>
    <t xml:space="preserve">✗ Pas d'amortissement = imposition annuelle peut être élevée si peu de charges</t>
  </si>
  <si>
    <t xml:space="preserve">✗ STRICTEMENT location NUE - 1 location meublée = bascule IS irrévocable</t>
  </si>
  <si>
    <t xml:space="preserve">✗ Coûts création SCI : ~1 500 - 3 000 € (statuts + immat + annonce légale)</t>
  </si>
  <si>
    <t xml:space="preserve">✗ Comptabilité simplifiée mais déclaration 2072 annuelle obligatoire</t>
  </si>
  <si>
    <t xml:space="preserve">→ Pertinent pour : patrimoine familial, transmission, location nue, durée détention longue (&gt;15 ans)</t>
  </si>
  <si>
    <t xml:space="preserve">SCI À L'IMPÔT SUR LES SOCIÉTÉS (sur option)</t>
  </si>
  <si>
    <t xml:space="preserve">Option IRRÉVOCABLE après 5 ans (art. 239 CGI). Amortissement possible. IS 15%/25% au lieu de TMI.</t>
  </si>
  <si>
    <t xml:space="preserve">1. RÉSULTAT FISCAL DE LA SCI</t>
  </si>
  <si>
    <t xml:space="preserve">Honoraires comptable + frais juridiques</t>
  </si>
  <si>
    <t xml:space="preserve">Comptable obligatoire IS plus cher</t>
  </si>
  <si>
    <t xml:space="preserve">2. AMORTISSEMENTS (avantage clé SCI IS)</t>
  </si>
  <si>
    <t xml:space="preserve">Base amortissable</t>
  </si>
  <si>
    <t xml:space="preserve">Base bâti</t>
  </si>
  <si>
    <t xml:space="preserve">Amort. gros œuvre (40%/80 ans)</t>
  </si>
  <si>
    <t xml:space="preserve">Amort. façade (10%/30 ans)</t>
  </si>
  <si>
    <t xml:space="preserve">Amort. installations (20%/25 ans)</t>
  </si>
  <si>
    <t xml:space="preserve">Amort. agencements (15%/15 ans)</t>
  </si>
  <si>
    <t xml:space="preserve">Amort. autres (15%/40 ans)</t>
  </si>
  <si>
    <t xml:space="preserve">Amortissement annuel total</t>
  </si>
  <si>
    <t xml:space="preserve">3. RÉSULTAT IMPOSABLE IS</t>
  </si>
  <si>
    <t xml:space="preserve">Résultat fiscal société</t>
  </si>
  <si>
    <t xml:space="preserve">Si négatif : déficit reportable indéfiniment (sur résultats SCI uniquement)</t>
  </si>
  <si>
    <t xml:space="preserve">Résultat imposable (si positif)</t>
  </si>
  <si>
    <t xml:space="preserve">4. CALCUL DE L'IS</t>
  </si>
  <si>
    <t xml:space="preserve">Plafond IS taux réduit</t>
  </si>
  <si>
    <t xml:space="preserve">IS taux réduit 15% (jusqu'à 42 500€)</t>
  </si>
  <si>
    <t xml:space="preserve">Sous condition : CA&lt;10M€ et capital libéré</t>
  </si>
  <si>
    <t xml:space="preserve">IS taux normal 25% (au-delà)</t>
  </si>
  <si>
    <t xml:space="preserve">IS total à payer par la SCI</t>
  </si>
  <si>
    <t xml:space="preserve">Résultat NET société (après IS)</t>
  </si>
  <si>
    <t xml:space="preserve">5. DISTRIBUTION DE DIVIDENDES (optionnelle)</t>
  </si>
  <si>
    <t xml:space="preserve">% distribué aux associés</t>
  </si>
  <si>
    <t xml:space="preserve">0% si capitalisation, 100% si distribution totale</t>
  </si>
  <si>
    <t xml:space="preserve">Dividendes bruts</t>
  </si>
  <si>
    <t xml:space="preserve">PFU 12,8% IR</t>
  </si>
  <si>
    <t xml:space="preserve">Ou option barème (TMI) si plus avantageux</t>
  </si>
  <si>
    <t xml:space="preserve">PS 18,6% sur dividendes (LFSS 2026)</t>
  </si>
  <si>
    <t xml:space="preserve">Dividendes nets reçus</t>
  </si>
  <si>
    <t xml:space="preserve">6. SYNTHÈSE COMPLÈTE</t>
  </si>
  <si>
    <t xml:space="preserve">IS payé par société</t>
  </si>
  <si>
    <t xml:space="preserve">PFU + PS sur dividendes distribués</t>
  </si>
  <si>
    <t xml:space="preserve">Charge fiscale totale</t>
  </si>
  <si>
    <t xml:space="preserve">Trésorerie capitalisée dans SCI</t>
  </si>
  <si>
    <t xml:space="preserve">Réinvestissable sans frottement fiscal supplémentaire</t>
  </si>
  <si>
    <t xml:space="preserve">7. PLUS-VALUE À LA REVENTE (régime spécifique IS)</t>
  </si>
  <si>
    <t xml:space="preserve">⚠ La plus-value en SCI IS est calculée sur la VALEUR NETTE COMPTABLE (= prix - amortissements pratiqués)</t>
  </si>
  <si>
    <t xml:space="preserve">Plus-value imposable = Prix de vente - VNC = Prix de vente - (Prix d'acquisition - Amortissements)</t>
  </si>
  <si>
    <t xml:space="preserve">Cette plus-value est imposée à l'IS (15% / 25%) - pas d'abattement pour durée de détention</t>
  </si>
  <si>
    <t xml:space="preserve">Si distribution du produit de cession : PFU 30% / 31,4% supplémentaire au niveau associé</t>
  </si>
  <si>
    <t xml:space="preserve">→ La SCI IS est globalement DÉFAVORABLE à la revente (sauf stratégie de transmission)</t>
  </si>
  <si>
    <t xml:space="preserve">STRATÉGIE COMPLÉMENTAIRE : conserver le bien longtemps + transmettre les parts (donation) plutôt que vendre</t>
  </si>
  <si>
    <t xml:space="preserve">8. POINTS-CLÉS SCI IS</t>
  </si>
  <si>
    <t xml:space="preserve">✓ Amortissement possible (vs SCI IR) = forte réduction du résultat imposable</t>
  </si>
  <si>
    <t xml:space="preserve">✓ IS 15% jusqu'à 42 500€, puis 25% - souvent plus doux que TMI 30/41/45%</t>
  </si>
  <si>
    <t xml:space="preserve">✓ Trésorerie capitalisable dans la société pour réinvestir (effet boule de neige)</t>
  </si>
  <si>
    <t xml:space="preserve">✓ Idéal pour stratégies long terme avec réinvestissement</t>
  </si>
  <si>
    <t xml:space="preserve">✓ Permet la location MEUBLÉE (contrairement SCI IR)</t>
  </si>
  <si>
    <t xml:space="preserve">✗ Option IRRÉVOCABLE passé 5 ans (LF 2019)</t>
  </si>
  <si>
    <t xml:space="preserve">✗ Plus-value à la revente DÉFAVORABLE (pas d'abattement durée détention)</t>
  </si>
  <si>
    <t xml:space="preserve">✗ Comptabilité commerciale obligatoire (~1000-2000€/an)</t>
  </si>
  <si>
    <t xml:space="preserve">✗ Distribution dividendes = double imposition (IS puis PFU/PS)</t>
  </si>
  <si>
    <t xml:space="preserve">→ Pertinent pour : capitalisation long terme, location meublée en SCI, transmission par donation parts</t>
  </si>
  <si>
    <t xml:space="preserve">DISPOSITIFS PINEL / DENORMANDIE / BAILLEUR PRIVÉ</t>
  </si>
  <si>
    <t xml:space="preserve">⚠ ATTENTION : Pinel arrêté au 31/12/2024. Statut Bailleur Privé créé par LF 2026 (décrets en attente).</t>
  </si>
  <si>
    <t xml:space="preserve">⚠ POINT CRITIQUE POUR LE MVP</t>
  </si>
  <si>
    <t xml:space="preserve">Pinel : DISPOSITIF FERMÉ aux nouvelles acquisitions depuis le 31/12/2024.</t>
  </si>
  <si>
    <t xml:space="preserve">Les investisseurs ENGAGÉS avant cette date continuent de bénéficier de la réduction d'impôt jusqu'à fin de l'engagement.</t>
  </si>
  <si>
    <t xml:space="preserve">Denormandie : prorogé jusqu'au 31/12/2027 (rénovation lourde dans centres-villes éligibles).</t>
  </si>
  <si>
    <t xml:space="preserve">Bailleur Privé (LF 2026) : nouveau dispositif d'amortissement accéléré, en remplacement partiel du Pinel.</t>
  </si>
  <si>
    <t xml:space="preserve">→ POUR LE MVP : ne PAS proposer Pinel comme option pour primo-investisseur en 2026.</t>
  </si>
  <si>
    <t xml:space="preserve">→ Dans le simulateur : afficher Pinel uniquement en 'mode rétrospectif' pour ceux qui sont déjà engagés.</t>
  </si>
  <si>
    <t xml:space="preserve">1. PINEL (rappel pour propriétaires déjà engagés)</t>
  </si>
  <si>
    <t xml:space="preserve">Engagement location</t>
  </si>
  <si>
    <t xml:space="preserve">Réduction totale</t>
  </si>
  <si>
    <t xml:space="preserve">6 ans</t>
  </si>
  <si>
    <t xml:space="preserve">9 ans</t>
  </si>
  <si>
    <t xml:space="preserve">12 ans</t>
  </si>
  <si>
    <t xml:space="preserve">Plafond investissement annuel</t>
  </si>
  <si>
    <t xml:space="preserve">Art. 199 novovicies CGI</t>
  </si>
  <si>
    <t xml:space="preserve">Plafond prix au m²</t>
  </si>
  <si>
    <t xml:space="preserve">Plafond toutes zones</t>
  </si>
  <si>
    <t xml:space="preserve">Plafond loyer/m² (variable selon zone)</t>
  </si>
  <si>
    <t xml:space="preserve">Zone A bis - 2024</t>
  </si>
  <si>
    <t xml:space="preserve">Réduction max sur 12 ans</t>
  </si>
  <si>
    <t xml:space="preserve">Plafonnée niches fiscales 10 000€/an</t>
  </si>
  <si>
    <t xml:space="preserve">2. DENORMANDIE (actif jusqu'au 31/12/2027)</t>
  </si>
  <si>
    <t xml:space="preserve">Cible : rénovation de logements anciens dans centres-villes en perte de vitalité</t>
  </si>
  <si>
    <t xml:space="preserve">Conditions : 25% du prix dédiés à des travaux d'amélioration</t>
  </si>
  <si>
    <t xml:space="preserve">Liste des communes éligibles : 245 villes 'Action Cœur de Ville' + 222 villes 'ORT'</t>
  </si>
  <si>
    <t xml:space="preserve">Mêmes taux et engagements que Pinel (9-12-14% sur 6/9/12 ans)</t>
  </si>
  <si>
    <t xml:space="preserve">Plafonds : 300 000 €, 5 500 €/m², plafonds de loyers et de ressources locataires</t>
  </si>
  <si>
    <t xml:space="preserve">→ Actif - peut être inclus dans le simulateur MVP avec module 'Denormandie'</t>
  </si>
  <si>
    <t xml:space="preserve">3. STATUT DU BAILLEUR PRIVÉ (LF 2026 - en attente décrets)</t>
  </si>
  <si>
    <t xml:space="preserve">Nouveau dispositif d'amortissement créé par la LF 2026 pour relancer l'investissement locatif</t>
  </si>
  <si>
    <t xml:space="preserve">Cible : logements collectifs neufs en zone tendue OU anciens avec rénovation significative</t>
  </si>
  <si>
    <t xml:space="preserve">Mécanisme : amortissement déductible des revenus fonciers (similaire au régime BIC mais en location nue)</t>
  </si>
  <si>
    <t xml:space="preserve">Conditions précises : décrets d'application en attente fin 2026</t>
  </si>
  <si>
    <t xml:space="preserve">→ NE PAS modéliser dans le MVP V1 - intégration prévue dès publication des décrets</t>
  </si>
  <si>
    <t xml:space="preserve">→ Veille réglementaire : suivre le BOFiP-Impôts pour mise à jour</t>
  </si>
  <si>
    <t xml:space="preserve">PLUS-VALUES IMMOBILIÈRES - COMPARAISON PAR RÉGIME</t>
  </si>
  <si>
    <t xml:space="preserve">Calculs pour une cession à l'horizon défini dans Inputs simulation</t>
  </si>
  <si>
    <t xml:space="preserve">1. HYPOTHÈSES DE CESSION</t>
  </si>
  <si>
    <t xml:space="preserve">Prix d'acquisition</t>
  </si>
  <si>
    <t xml:space="preserve">Frais d'acquisition (forfait 7,5% ou réels)</t>
  </si>
  <si>
    <t xml:space="preserve">Forfait à défaut de justificatifs</t>
  </si>
  <si>
    <t xml:space="preserve">Travaux (forfait 15% si &gt;5 ans)</t>
  </si>
  <si>
    <t xml:space="preserve">Forfait OU réels avec factures</t>
  </si>
  <si>
    <t xml:space="preserve">Prix d'acquisition retenu</t>
  </si>
  <si>
    <t xml:space="preserve">Durée de détention</t>
  </si>
  <si>
    <t xml:space="preserve">Prix de cession estimé</t>
  </si>
  <si>
    <t xml:space="preserve">Prix d'achat capitalisé au taux d'appréciation</t>
  </si>
  <si>
    <t xml:space="preserve">Plus-value brute</t>
  </si>
  <si>
    <t xml:space="preserve">2. RÉGIME DES PARTICULIERS (nom propre, SCI IR)</t>
  </si>
  <si>
    <t xml:space="preserve">Abattement IR par an (6e à 21e)</t>
  </si>
  <si>
    <t xml:space="preserve">Abattement PS par an (6e à 21e)</t>
  </si>
  <si>
    <t xml:space="preserve">Abattement PS par an (23e à 30e)</t>
  </si>
  <si>
    <t xml:space="preserve">% abattement IR cumulé</t>
  </si>
  <si>
    <t xml:space="preserve">0% si &lt;6 ans, max 100% à 22 ans</t>
  </si>
  <si>
    <t xml:space="preserve">% abattement PS cumulé</t>
  </si>
  <si>
    <t xml:space="preserve">0% si &lt;6 ans, max 100% à 30 ans</t>
  </si>
  <si>
    <t xml:space="preserve">Plus-value après abattement IR</t>
  </si>
  <si>
    <t xml:space="preserve">Plus-value après abattement PS</t>
  </si>
  <si>
    <t xml:space="preserve">IR à 19%</t>
  </si>
  <si>
    <t xml:space="preserve">PS à 17,2%</t>
  </si>
  <si>
    <t xml:space="preserve">Surtaxe (&gt;50k€)</t>
  </si>
  <si>
    <t xml:space="preserve">Approximation - barème progressif 2-6%</t>
  </si>
  <si>
    <t xml:space="preserve">TOTAL imposition PV (régime particulier)</t>
  </si>
  <si>
    <t xml:space="preserve">Net après PV</t>
  </si>
  <si>
    <t xml:space="preserve">3. RÉGIME LMNP - APRÈS RÉFORME LF 2025</t>
  </si>
  <si>
    <t xml:space="preserve">Amortissements pratiqués (estimés)</t>
  </si>
  <si>
    <t xml:space="preserve">Cumul amortissement bâti+mobilier sur durée détention - signe inversé</t>
  </si>
  <si>
    <t xml:space="preserve">PV recalculée (réintégration amort.)</t>
  </si>
  <si>
    <t xml:space="preserve">PV imposable = Prix vente - (Prix achat - Amort.)</t>
  </si>
  <si>
    <t xml:space="preserve">Application abattements particuliers</t>
  </si>
  <si>
    <t xml:space="preserve">Régime PV particuliers s'applique malgré réintégration</t>
  </si>
  <si>
    <t xml:space="preserve">PS à 17,2% sur PV abattue PS</t>
  </si>
  <si>
    <t xml:space="preserve">TOTAL imposition PV (LMNP)</t>
  </si>
  <si>
    <t xml:space="preserve">Surcoût LF 2025 vs ancien régime</t>
  </si>
  <si>
    <t xml:space="preserve">Coût de la réforme</t>
  </si>
  <si>
    <t xml:space="preserve">4. RÉGIME SCI IS</t>
  </si>
  <si>
    <t xml:space="preserve">Amortissements cumulés SCI IS</t>
  </si>
  <si>
    <t xml:space="preserve">Cumul amortissement bâti</t>
  </si>
  <si>
    <t xml:space="preserve">Valeur Nette Comptable (VNC)</t>
  </si>
  <si>
    <t xml:space="preserve">VNC = Prix achat - amortissements</t>
  </si>
  <si>
    <t xml:space="preserve">Plus-value imposable IS</t>
  </si>
  <si>
    <t xml:space="preserve">Pas d'abattement durée détention en IS</t>
  </si>
  <si>
    <t xml:space="preserve">IS sur PV (15% jusqu'à 42 500€)</t>
  </si>
  <si>
    <t xml:space="preserve">IS taux normal 25%</t>
  </si>
  <si>
    <t xml:space="preserve">IS total</t>
  </si>
  <si>
    <t xml:space="preserve">Si distribution dividendes nets</t>
  </si>
  <si>
    <t xml:space="preserve">PFU 31,4% (12,8% + 18,6%) sur dividendes</t>
  </si>
  <si>
    <t xml:space="preserve">TOTAL imposition PV (SCI IS, distribution)</t>
  </si>
  <si>
    <t xml:space="preserve">Surcoût SCI IS vs particulier</t>
  </si>
  <si>
    <t xml:space="preserve">Souvent défavorable à la sortie</t>
  </si>
  <si>
    <t xml:space="preserve">5. EXONÉRATIONS PARTICULIÈRES</t>
  </si>
  <si>
    <t xml:space="preserve">Résidence principale : EXONÉRATION TOTALE (art. 150 U II 1° CGI)</t>
  </si>
  <si>
    <t xml:space="preserve">Première cession d'un logement autre que RP : exonération si remploi prix dans une RP dans les 24 mois (sous conditions)</t>
  </si>
  <si>
    <t xml:space="preserve">Cession &lt; 15 000 € : exonération</t>
  </si>
  <si>
    <t xml:space="preserve">Détention &gt; 30 ans : exonération totale IR + PS (régime particulier)</t>
  </si>
  <si>
    <t xml:space="preserve">Vente à un bailleur social : exonération conditionnée</t>
  </si>
  <si>
    <t xml:space="preserve">COMPARATEUR MULTI-RÉGIMES</t>
  </si>
  <si>
    <t xml:space="preserve">Vue synthétique côte-à-côte - C'EST L'ÉCRAN DE RÉSULTAT du simulateur utilisateur</t>
  </si>
  <si>
    <t xml:space="preserve">Indicateur</t>
  </si>
  <si>
    <t xml:space="preserve">Micro-foncier
(loc. nue)</t>
  </si>
  <si>
    <t xml:space="preserve">Réel foncier
(loc. nue)</t>
  </si>
  <si>
    <t xml:space="preserve">Micro-BIC
LMNP</t>
  </si>
  <si>
    <t xml:space="preserve">Réel LMNP</t>
  </si>
  <si>
    <t xml:space="preserve">SCI IR</t>
  </si>
  <si>
    <t xml:space="preserve">SCI IS</t>
  </si>
  <si>
    <t xml:space="preserve">Recettes nettes (après vacance)</t>
  </si>
  <si>
    <t xml:space="preserve">Charges déductibles</t>
  </si>
  <si>
    <t xml:space="preserve">-</t>
  </si>
  <si>
    <t xml:space="preserve">IR / IS</t>
  </si>
  <si>
    <t xml:space="preserve">Prélèvements sociaux</t>
  </si>
  <si>
    <t xml:space="preserve">CHARGE FISCALE TOTALE</t>
  </si>
  <si>
    <t xml:space="preserve">RÉGIME LE PLUS FAVORABLE (charge fiscale min)</t>
  </si>
  <si>
    <t xml:space="preserve">MATRICE DE DÉCISION RAPIDE</t>
  </si>
  <si>
    <t xml:space="preserve">Critère</t>
  </si>
  <si>
    <t xml:space="preserve">Recommandation</t>
  </si>
  <si>
    <t xml:space="preserve">Bien sans emprunt + charges &lt; 30% loyers</t>
  </si>
  <si>
    <t xml:space="preserve">Emprunt en cours + charges importantes (location nue)</t>
  </si>
  <si>
    <t xml:space="preserve">Réel foncier</t>
  </si>
  <si>
    <t xml:space="preserve">Gros travaux &gt; 10 700 € à imputer</t>
  </si>
  <si>
    <t xml:space="preserve">Réel foncier (déficit foncier)</t>
  </si>
  <si>
    <t xml:space="preserve">Meublé sans emprunt, recettes &lt; 77 700 €</t>
  </si>
  <si>
    <t xml:space="preserve">Micro-BIC LMNP (50%)</t>
  </si>
  <si>
    <t xml:space="preserve">Meublé avec emprunt, horizon long</t>
  </si>
  <si>
    <t xml:space="preserve">Réel LMNP (amortissement)</t>
  </si>
  <si>
    <t xml:space="preserve">Recettes meublé &gt; 23 000 € + &gt; revenus pro</t>
  </si>
  <si>
    <t xml:space="preserve">LMP (vérifier basculement)</t>
  </si>
  <si>
    <t xml:space="preserve">Patrimoine familial, transmission, location nue</t>
  </si>
  <si>
    <t xml:space="preserve">SCI à l'IR</t>
  </si>
  <si>
    <t xml:space="preserve">Capitalisation long terme, location meublée en société</t>
  </si>
  <si>
    <t xml:space="preserve">Investisseur LMNP existant qui restructure</t>
  </si>
  <si>
    <t xml:space="preserve">Étude SCI IS au cas par cas</t>
  </si>
  <si>
    <t xml:space="preserve">Primo-investisseur en RP non-investi</t>
  </si>
  <si>
    <t xml:space="preserve">Souvent : nom propre + LMNP réel</t>
  </si>
  <si>
    <t xml:space="preserve">HYPOTHÈSES, CONVENTIONS &amp; SOURCES LÉGALES</t>
  </si>
  <si>
    <t xml:space="preserve">Document à fournir à l'expert-comptable pour validation avant intégration produit</t>
  </si>
  <si>
    <t xml:space="preserve">1. APPROXIMATIONS APPLIQUÉES (à challenger avec un EC)</t>
  </si>
  <si>
    <t xml:space="preserve">Approximation</t>
  </si>
  <si>
    <t xml:space="preserve">Valeur retenue</t>
  </si>
  <si>
    <t xml:space="preserve">Précision réelle</t>
  </si>
  <si>
    <t xml:space="preserve">Calcul IR via TMI seule</t>
  </si>
  <si>
    <t xml:space="preserve">TMI × revenu imposable</t>
  </si>
  <si>
    <t xml:space="preserve">Le calcul exact passe par le barème complet par tranches + quotient familial + plafonnement</t>
  </si>
  <si>
    <t xml:space="preserve">Intérêts emprunt en année 1</t>
  </si>
  <si>
    <t xml:space="preserve">Capital × taux</t>
  </si>
  <si>
    <t xml:space="preserve">En réalité dégressif - utiliser un tableau d'amortissement précis</t>
  </si>
  <si>
    <t xml:space="preserve">Amortissement linéaire pondéré bâti</t>
  </si>
  <si>
    <t xml:space="preserve">Décomposition 5 composants</t>
  </si>
  <si>
    <t xml:space="preserve">Standard comptable - l'EC peut affiner selon DTU</t>
  </si>
  <si>
    <t xml:space="preserve">Surtaxe PV simplifiée</t>
  </si>
  <si>
    <t xml:space="preserve">2% si PV &gt; 50 000 €</t>
  </si>
  <si>
    <t xml:space="preserve">En réalité barème progressif 2% à 6% selon montant</t>
  </si>
  <si>
    <t xml:space="preserve">Cotisations sociales LMP</t>
  </si>
  <si>
    <t xml:space="preserve">30%</t>
  </si>
  <si>
    <t xml:space="preserve">En réalité 30-45% selon revenu - calcul SSI complexe</t>
  </si>
  <si>
    <t xml:space="preserve">Plafond niches fiscales</t>
  </si>
  <si>
    <t xml:space="preserve">Non modélisé</t>
  </si>
  <si>
    <t xml:space="preserve">Plafond global 10 000 €/an à intégrer (Pinel, etc.)</t>
  </si>
  <si>
    <t xml:space="preserve">CFE pour LMNP réel</t>
  </si>
  <si>
    <t xml:space="preserve">300 €/an</t>
  </si>
  <si>
    <t xml:space="preserve">Variable selon commune (200-1500 €/an)</t>
  </si>
  <si>
    <t xml:space="preserve">Frais de gestion forfait foncier</t>
  </si>
  <si>
    <t xml:space="preserve">20 €/local</t>
  </si>
  <si>
    <t xml:space="preserve">Art. 31-I-1°-c CGI - exact</t>
  </si>
  <si>
    <t xml:space="preserve">% des loyers</t>
  </si>
  <si>
    <t xml:space="preserve">Dans la réalité, non linéaire - conditionne la qualité du bien</t>
  </si>
  <si>
    <t xml:space="preserve">2. SOURCES LÉGALES PRINCIPALES</t>
  </si>
  <si>
    <t xml:space="preserve">Texte</t>
  </si>
  <si>
    <t xml:space="preserve">Référence</t>
  </si>
  <si>
    <t xml:space="preserve">Sujet</t>
  </si>
  <si>
    <t xml:space="preserve">Loi de finances 2026</t>
  </si>
  <si>
    <t xml:space="preserve">Loi n° 2026-103 du 19 février 2026</t>
  </si>
  <si>
    <t xml:space="preserve">Barème IR 2026 (revalorisation +0,9%), CDHR, statut Bailleur Privé</t>
  </si>
  <si>
    <t xml:space="preserve">LFSS 2026</t>
  </si>
  <si>
    <t xml:space="preserve">Art. 12 - hausse CSG 1,4 pt</t>
  </si>
  <si>
    <t xml:space="preserve">PS LMNP 17,2% → 18,6% (rétroactif rev. 2025), exclusion fonciers nus</t>
  </si>
  <si>
    <t xml:space="preserve">Loi Le Meur</t>
  </si>
  <si>
    <t xml:space="preserve">Loi n° 2024-1039 du 19/11/2024</t>
  </si>
  <si>
    <t xml:space="preserve">Réforme micro-BIC meublés tourisme (15k€/30%)</t>
  </si>
  <si>
    <t xml:space="preserve">LF 2025</t>
  </si>
  <si>
    <t xml:space="preserve">Art. 84 LF 2025</t>
  </si>
  <si>
    <t xml:space="preserve">Réintégration amortissements LMNP dans plus-value</t>
  </si>
  <si>
    <t xml:space="preserve">CGI art. 32</t>
  </si>
  <si>
    <t xml:space="preserve">Code général impôts</t>
  </si>
  <si>
    <t xml:space="preserve">Micro-foncier - location nue</t>
  </si>
  <si>
    <t xml:space="preserve">CGI art. 50-0</t>
  </si>
  <si>
    <t xml:space="preserve">Micro-BIC - location meublée</t>
  </si>
  <si>
    <t xml:space="preserve">CGI art. 155 IV</t>
  </si>
  <si>
    <t xml:space="preserve">Statut LMP / LMNP - seuil 23 000 €</t>
  </si>
  <si>
    <t xml:space="preserve">CGI art. 156 I-3°</t>
  </si>
  <si>
    <t xml:space="preserve">Déficit foncier - plafond 10 700 €</t>
  </si>
  <si>
    <t xml:space="preserve">CGI art. 219 I</t>
  </si>
  <si>
    <t xml:space="preserve">IS - taux réduit 15% / normal 25%</t>
  </si>
  <si>
    <t xml:space="preserve">CGI art. 239</t>
  </si>
  <si>
    <t xml:space="preserve">Option IS - irrévocabilité après 5 ans</t>
  </si>
  <si>
    <t xml:space="preserve">CGI art. 150 U</t>
  </si>
  <si>
    <t xml:space="preserve">Plus-values immobilières particuliers</t>
  </si>
  <si>
    <t xml:space="preserve">BOFiP-Impôts</t>
  </si>
  <si>
    <t xml:space="preserve">BOI-BIC-CHAMP-40</t>
  </si>
  <si>
    <t xml:space="preserve">Doctrine administrative location meublée</t>
  </si>
  <si>
    <t xml:space="preserve">3. POINTS D'ATTENTION POUR LE PRODUIT</t>
  </si>
  <si>
    <t xml:space="preserve">1. La fiscalité immobilière évolue chaque année (LF + LFSS) - prévoir mise à jour annuelle Q1</t>
  </si>
  <si>
    <t xml:space="preserve">2. Le statut Bailleur Privé (LF 2026) sera disponible courant 2026 après publication des décrets</t>
  </si>
  <si>
    <t xml:space="preserve">3. La CDHR (Contribution Différentielle Hauts Revenus) plancher 20% concerne les RFR &gt; 250k€/500k€</t>
  </si>
  <si>
    <t xml:space="preserve">4. La loi 'climat-résilience' interdit la location de biens classés G au DPE depuis 01/01/2025</t>
  </si>
  <si>
    <t xml:space="preserve">5. Pinel : ne plus l'inclure dans le simulateur pour nouveaux investisseurs (sauf engagements pris avant 31/12/2024)</t>
  </si>
  <si>
    <t xml:space="preserve">6. Les calculs ne couvrent PAS : démembrement, holding patrimoniale, OBO, dispositif Cosse, monuments historiques, Malraux</t>
  </si>
  <si>
    <t xml:space="preserve">7. Cas multi-biens : le calcul change (cumul recettes pour seuils LMP/LMNP, mutualisation déficits, etc.)</t>
  </si>
  <si>
    <t xml:space="preserve">8. Cas indivision : régime particulier proche de la SCI IR mais avec des règles spécifiques</t>
  </si>
  <si>
    <t xml:space="preserve">9. Le simulateur doit clairement distinguer 'recettes' (encaissé) et 'résultat fiscal' (imposable)</t>
  </si>
  <si>
    <t xml:space="preserve">10. Prévoir un disclaimer légal : 'outil d'aide à la décision, ne se substitue pas à un conseil personnalisé'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</si>
</sst>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;\(#,##0&quot;) €&quot;;\-"/>
    <numFmt numFmtId="166" formatCode="0.00%;\(0.00%\);\-"/>
    <numFmt numFmtId="167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0"/>
      <color rgb="FF2E75B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E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BF7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55"/>
    <col collapsed="false" customWidth="true" hidden="false" outlineLevel="0" max="3" min="3" style="1" width="28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3" customFormat="false" ht="15" hidden="false" customHeight="true" outlineLevel="0" collapsed="false">
      <c r="A3" s="4"/>
      <c r="B3" s="4"/>
      <c r="C3" s="4"/>
      <c r="D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</row>
    <row r="5" customFormat="false" ht="15" hidden="false" customHeight="tru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15" hidden="false" customHeight="tru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15" hidden="false" customHeight="tru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15" hidden="false" customHeight="true" outlineLevel="0" collapsed="false">
      <c r="A8" s="4" t="s">
        <v>18</v>
      </c>
      <c r="B8" s="4" t="s">
        <v>19</v>
      </c>
      <c r="C8" s="4" t="s">
        <v>16</v>
      </c>
      <c r="D8" s="4" t="s">
        <v>20</v>
      </c>
    </row>
    <row r="9" customFormat="false" ht="15" hidden="false" customHeight="true" outlineLevel="0" collapsed="false">
      <c r="A9" s="4" t="s">
        <v>21</v>
      </c>
      <c r="B9" s="4" t="s">
        <v>22</v>
      </c>
      <c r="C9" s="4" t="s">
        <v>16</v>
      </c>
      <c r="D9" s="4" t="s">
        <v>23</v>
      </c>
    </row>
    <row r="10" customFormat="false" ht="15" hidden="false" customHeight="true" outlineLevel="0" collapsed="false">
      <c r="A10" s="4" t="s">
        <v>24</v>
      </c>
      <c r="B10" s="4" t="s">
        <v>25</v>
      </c>
      <c r="C10" s="4" t="s">
        <v>16</v>
      </c>
      <c r="D10" s="4" t="s">
        <v>26</v>
      </c>
    </row>
    <row r="11" customFormat="false" ht="15" hidden="false" customHeight="true" outlineLevel="0" collapsed="false">
      <c r="A11" s="4" t="s">
        <v>27</v>
      </c>
      <c r="B11" s="4" t="s">
        <v>28</v>
      </c>
      <c r="C11" s="4" t="s">
        <v>16</v>
      </c>
      <c r="D11" s="4" t="s">
        <v>29</v>
      </c>
    </row>
    <row r="12" customFormat="false" ht="15" hidden="false" customHeight="true" outlineLevel="0" collapsed="false">
      <c r="A12" s="4" t="s">
        <v>30</v>
      </c>
      <c r="B12" s="4" t="s">
        <v>31</v>
      </c>
      <c r="C12" s="4" t="s">
        <v>32</v>
      </c>
      <c r="D12" s="4" t="s">
        <v>33</v>
      </c>
    </row>
    <row r="13" customFormat="false" ht="15" hidden="false" customHeight="true" outlineLevel="0" collapsed="false">
      <c r="A13" s="4" t="s">
        <v>34</v>
      </c>
      <c r="B13" s="4" t="s">
        <v>35</v>
      </c>
      <c r="C13" s="4" t="s">
        <v>32</v>
      </c>
      <c r="D13" s="4" t="s">
        <v>36</v>
      </c>
    </row>
    <row r="14" customFormat="false" ht="15" hidden="false" customHeight="true" outlineLevel="0" collapsed="false">
      <c r="A14" s="4" t="s">
        <v>37</v>
      </c>
      <c r="B14" s="4" t="s">
        <v>38</v>
      </c>
      <c r="C14" s="4" t="s">
        <v>16</v>
      </c>
      <c r="D14" s="4" t="s">
        <v>39</v>
      </c>
    </row>
    <row r="15" customFormat="false" ht="15" hidden="false" customHeight="true" outlineLevel="0" collapsed="false">
      <c r="A15" s="4" t="s">
        <v>40</v>
      </c>
      <c r="B15" s="4" t="s">
        <v>41</v>
      </c>
      <c r="C15" s="4" t="s">
        <v>12</v>
      </c>
      <c r="D15" s="4" t="s">
        <v>42</v>
      </c>
    </row>
    <row r="16" customFormat="false" ht="15" hidden="false" customHeight="true" outlineLevel="0" collapsed="false">
      <c r="A16" s="4" t="s">
        <v>43</v>
      </c>
      <c r="B16" s="4" t="s">
        <v>44</v>
      </c>
      <c r="C16" s="4" t="s">
        <v>12</v>
      </c>
      <c r="D16" s="4" t="s">
        <v>45</v>
      </c>
    </row>
    <row r="17" customFormat="false" ht="15" hidden="false" customHeight="true" outlineLevel="0" collapsed="false">
      <c r="A17" s="4" t="s">
        <v>46</v>
      </c>
      <c r="B17" s="4" t="s">
        <v>47</v>
      </c>
      <c r="C17" s="4" t="s">
        <v>48</v>
      </c>
      <c r="D17" s="4" t="s">
        <v>49</v>
      </c>
    </row>
    <row r="18" customFormat="false" ht="15" hidden="false" customHeight="true" outlineLevel="0" collapsed="false">
      <c r="A18" s="4"/>
      <c r="B18" s="4"/>
      <c r="C18" s="4"/>
      <c r="D18" s="4"/>
    </row>
    <row r="19" customFormat="false" ht="15" hidden="false" customHeight="true" outlineLevel="0" collapsed="false">
      <c r="A19" s="6" t="s">
        <v>50</v>
      </c>
      <c r="B19" s="4"/>
      <c r="C19" s="4"/>
      <c r="D19" s="4"/>
    </row>
    <row r="20" customFormat="false" ht="23.25" hidden="false" customHeight="true" outlineLevel="0" collapsed="false">
      <c r="A20" s="4" t="s">
        <v>51</v>
      </c>
      <c r="B20" s="4" t="s">
        <v>52</v>
      </c>
      <c r="C20" s="4"/>
      <c r="D20" s="4"/>
    </row>
    <row r="21" customFormat="false" ht="23.25" hidden="false" customHeight="true" outlineLevel="0" collapsed="false">
      <c r="A21" s="4" t="s">
        <v>53</v>
      </c>
      <c r="B21" s="4" t="s">
        <v>54</v>
      </c>
      <c r="C21" s="4"/>
      <c r="D21" s="4"/>
    </row>
    <row r="22" customFormat="false" ht="23.25" hidden="false" customHeight="true" outlineLevel="0" collapsed="false">
      <c r="A22" s="4" t="s">
        <v>55</v>
      </c>
      <c r="B22" s="4" t="s">
        <v>56</v>
      </c>
      <c r="C22" s="4"/>
      <c r="D22" s="4"/>
    </row>
    <row r="23" customFormat="false" ht="23.25" hidden="false" customHeight="true" outlineLevel="0" collapsed="false">
      <c r="A23" s="4" t="s">
        <v>57</v>
      </c>
      <c r="B23" s="4" t="s">
        <v>58</v>
      </c>
      <c r="C23" s="4"/>
      <c r="D23" s="4"/>
    </row>
    <row r="24" customFormat="false" ht="23.25" hidden="false" customHeight="true" outlineLevel="0" collapsed="false">
      <c r="A24" s="4" t="s">
        <v>59</v>
      </c>
      <c r="B24" s="4" t="s">
        <v>60</v>
      </c>
      <c r="C24" s="4"/>
      <c r="D24" s="4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  <col collapsed="false" customWidth="true" hidden="false" outlineLevel="0" max="5" min="5" style="1" width="50"/>
  </cols>
  <sheetData>
    <row r="1" customFormat="false" ht="24.75" hidden="false" customHeight="true" outlineLevel="0" collapsed="false">
      <c r="A1" s="2" t="s">
        <v>61</v>
      </c>
      <c r="B1" s="2"/>
      <c r="C1" s="2"/>
      <c r="D1" s="2"/>
      <c r="E1" s="2"/>
    </row>
    <row r="3" customFormat="false" ht="15" hidden="false" customHeight="true" outlineLevel="0" collapsed="false">
      <c r="A3" s="7" t="s">
        <v>62</v>
      </c>
      <c r="B3" s="7"/>
      <c r="C3" s="7"/>
      <c r="D3" s="7"/>
      <c r="E3" s="7"/>
    </row>
    <row r="4" customFormat="false" ht="15" hidden="false" customHeight="true" outlineLevel="0" collapsed="false">
      <c r="A4" s="8" t="s">
        <v>63</v>
      </c>
      <c r="B4" s="8" t="s">
        <v>64</v>
      </c>
      <c r="C4" s="8" t="s">
        <v>65</v>
      </c>
      <c r="D4" s="8" t="s">
        <v>66</v>
      </c>
      <c r="E4" s="9" t="s">
        <v>67</v>
      </c>
    </row>
    <row r="5" customFormat="false" ht="15" hidden="false" customHeight="true" outlineLevel="0" collapsed="false">
      <c r="A5" s="10" t="s">
        <v>68</v>
      </c>
      <c r="B5" s="11" t="n">
        <v>0</v>
      </c>
      <c r="C5" s="11" t="n">
        <v>11600</v>
      </c>
      <c r="D5" s="12" t="n">
        <v>0</v>
      </c>
      <c r="E5" s="13" t="s">
        <v>69</v>
      </c>
    </row>
    <row r="6" customFormat="false" ht="15" hidden="false" customHeight="true" outlineLevel="0" collapsed="false">
      <c r="A6" s="10" t="s">
        <v>70</v>
      </c>
      <c r="B6" s="11" t="n">
        <v>11600</v>
      </c>
      <c r="C6" s="11" t="n">
        <v>29579</v>
      </c>
      <c r="D6" s="12" t="n">
        <v>0.11</v>
      </c>
      <c r="E6" s="13" t="s">
        <v>71</v>
      </c>
    </row>
    <row r="7" customFormat="false" ht="15" hidden="false" customHeight="true" outlineLevel="0" collapsed="false">
      <c r="A7" s="10" t="s">
        <v>72</v>
      </c>
      <c r="B7" s="11" t="n">
        <v>29579</v>
      </c>
      <c r="C7" s="11" t="n">
        <v>84577</v>
      </c>
      <c r="D7" s="12" t="n">
        <v>0.3</v>
      </c>
      <c r="E7" s="13" t="s">
        <v>71</v>
      </c>
    </row>
    <row r="8" customFormat="false" ht="15" hidden="false" customHeight="true" outlineLevel="0" collapsed="false">
      <c r="A8" s="10" t="s">
        <v>73</v>
      </c>
      <c r="B8" s="11" t="n">
        <v>84577</v>
      </c>
      <c r="C8" s="11" t="n">
        <v>181917</v>
      </c>
      <c r="D8" s="12" t="n">
        <v>0.41</v>
      </c>
      <c r="E8" s="13" t="s">
        <v>71</v>
      </c>
    </row>
    <row r="9" customFormat="false" ht="15" hidden="false" customHeight="true" outlineLevel="0" collapsed="false">
      <c r="A9" s="10" t="s">
        <v>74</v>
      </c>
      <c r="B9" s="11" t="n">
        <v>181917</v>
      </c>
      <c r="C9" s="11" t="n">
        <v>9999999</v>
      </c>
      <c r="D9" s="12" t="n">
        <v>0.45</v>
      </c>
      <c r="E9" s="13" t="s">
        <v>71</v>
      </c>
    </row>
    <row r="11" customFormat="false" ht="15" hidden="false" customHeight="true" outlineLevel="0" collapsed="false">
      <c r="A11" s="7" t="s">
        <v>75</v>
      </c>
      <c r="B11" s="7"/>
      <c r="C11" s="7"/>
      <c r="D11" s="7"/>
      <c r="E11" s="7"/>
    </row>
    <row r="12" customFormat="false" ht="15" hidden="false" customHeight="true" outlineLevel="0" collapsed="false">
      <c r="A12" s="5" t="s">
        <v>76</v>
      </c>
      <c r="B12" s="5" t="s">
        <v>77</v>
      </c>
      <c r="C12" s="5"/>
      <c r="D12" s="5"/>
      <c r="E12" s="14" t="s">
        <v>67</v>
      </c>
    </row>
    <row r="13" customFormat="false" ht="15" hidden="false" customHeight="true" outlineLevel="0" collapsed="false">
      <c r="A13" s="15" t="s">
        <v>78</v>
      </c>
      <c r="B13" s="16" t="n">
        <v>1982</v>
      </c>
      <c r="C13" s="15"/>
      <c r="D13" s="15"/>
      <c r="E13" s="4" t="s">
        <v>79</v>
      </c>
    </row>
    <row r="14" customFormat="false" ht="15" hidden="false" customHeight="true" outlineLevel="0" collapsed="false">
      <c r="A14" s="15" t="s">
        <v>80</v>
      </c>
      <c r="B14" s="16" t="n">
        <v>3277</v>
      </c>
      <c r="C14" s="15"/>
      <c r="D14" s="15"/>
      <c r="E14" s="4" t="s">
        <v>79</v>
      </c>
    </row>
    <row r="15" customFormat="false" ht="15" hidden="false" customHeight="true" outlineLevel="0" collapsed="false">
      <c r="A15" s="15" t="s">
        <v>81</v>
      </c>
      <c r="B15" s="16" t="n">
        <v>897</v>
      </c>
      <c r="C15" s="15"/>
      <c r="D15" s="15"/>
      <c r="E15" s="4" t="s">
        <v>79</v>
      </c>
    </row>
    <row r="16" customFormat="false" ht="15" hidden="false" customHeight="true" outlineLevel="0" collapsed="false">
      <c r="A16" s="15" t="s">
        <v>82</v>
      </c>
      <c r="B16" s="16" t="n">
        <v>1483</v>
      </c>
      <c r="C16" s="15"/>
      <c r="D16" s="15"/>
      <c r="E16" s="4" t="s">
        <v>79</v>
      </c>
    </row>
    <row r="17" customFormat="false" ht="15" hidden="false" customHeight="true" outlineLevel="0" collapsed="false">
      <c r="A17" s="15" t="s">
        <v>83</v>
      </c>
      <c r="B17" s="17" t="n">
        <v>0.4525</v>
      </c>
      <c r="C17" s="15"/>
      <c r="D17" s="15"/>
      <c r="E17" s="4" t="s">
        <v>84</v>
      </c>
    </row>
    <row r="19" customFormat="false" ht="15" hidden="false" customHeight="true" outlineLevel="0" collapsed="false">
      <c r="A19" s="7" t="s">
        <v>85</v>
      </c>
      <c r="B19" s="7"/>
      <c r="C19" s="7"/>
      <c r="D19" s="7"/>
      <c r="E19" s="7"/>
    </row>
    <row r="20" customFormat="false" ht="15" hidden="false" customHeight="true" outlineLevel="0" collapsed="false">
      <c r="A20" s="18" t="s">
        <v>86</v>
      </c>
      <c r="B20" s="18" t="s">
        <v>87</v>
      </c>
      <c r="C20" s="18" t="s">
        <v>88</v>
      </c>
      <c r="D20" s="18" t="s">
        <v>89</v>
      </c>
      <c r="E20" s="18" t="s">
        <v>67</v>
      </c>
    </row>
    <row r="21" customFormat="false" ht="15" hidden="false" customHeight="true" outlineLevel="0" collapsed="false">
      <c r="A21" s="19" t="s">
        <v>90</v>
      </c>
      <c r="B21" s="20" t="n">
        <v>0.172</v>
      </c>
      <c r="C21" s="20" t="n">
        <v>0.092</v>
      </c>
      <c r="D21" s="20" t="n">
        <v>0.068</v>
      </c>
      <c r="E21" s="19" t="s">
        <v>91</v>
      </c>
    </row>
    <row r="22" customFormat="false" ht="15" hidden="false" customHeight="true" outlineLevel="0" collapsed="false">
      <c r="A22" s="19" t="s">
        <v>92</v>
      </c>
      <c r="B22" s="20" t="n">
        <v>0.186</v>
      </c>
      <c r="C22" s="20" t="n">
        <v>0.106</v>
      </c>
      <c r="D22" s="20" t="n">
        <v>0.068</v>
      </c>
      <c r="E22" s="19" t="s">
        <v>93</v>
      </c>
    </row>
    <row r="23" customFormat="false" ht="15" hidden="false" customHeight="true" outlineLevel="0" collapsed="false">
      <c r="A23" s="19" t="s">
        <v>94</v>
      </c>
      <c r="B23" s="20" t="n">
        <v>0.172</v>
      </c>
      <c r="C23" s="20" t="n">
        <v>0.092</v>
      </c>
      <c r="D23" s="20" t="n">
        <v>0</v>
      </c>
      <c r="E23" s="19" t="s">
        <v>95</v>
      </c>
    </row>
    <row r="24" customFormat="false" ht="15" hidden="false" customHeight="true" outlineLevel="0" collapsed="false">
      <c r="A24" s="19" t="s">
        <v>96</v>
      </c>
      <c r="B24" s="20" t="n">
        <v>0.186</v>
      </c>
      <c r="C24" s="20" t="n">
        <v>0.106</v>
      </c>
      <c r="D24" s="20" t="n">
        <v>0.068</v>
      </c>
      <c r="E24" s="19" t="s">
        <v>97</v>
      </c>
    </row>
    <row r="25" customFormat="false" ht="15" hidden="false" customHeight="true" outlineLevel="0" collapsed="false">
      <c r="A25" s="19" t="s">
        <v>98</v>
      </c>
      <c r="B25" s="20" t="n">
        <v>0.3</v>
      </c>
      <c r="C25" s="20" t="n">
        <v>0</v>
      </c>
      <c r="D25" s="20" t="n">
        <v>0</v>
      </c>
      <c r="E25" s="19" t="s">
        <v>99</v>
      </c>
    </row>
    <row r="28" customFormat="false" ht="15" hidden="false" customHeight="true" outlineLevel="0" collapsed="false">
      <c r="A28" s="7" t="s">
        <v>100</v>
      </c>
      <c r="B28" s="7"/>
      <c r="C28" s="7"/>
      <c r="D28" s="7"/>
      <c r="E28" s="7"/>
    </row>
    <row r="29" customFormat="false" ht="15" hidden="false" customHeight="true" outlineLevel="0" collapsed="false">
      <c r="A29" s="18" t="s">
        <v>101</v>
      </c>
      <c r="B29" s="18" t="s">
        <v>102</v>
      </c>
      <c r="C29" s="18" t="s">
        <v>103</v>
      </c>
      <c r="D29" s="18" t="s">
        <v>104</v>
      </c>
      <c r="E29" s="18" t="s">
        <v>67</v>
      </c>
    </row>
    <row r="30" customFormat="false" ht="15" hidden="false" customHeight="true" outlineLevel="0" collapsed="false">
      <c r="A30" s="19" t="s">
        <v>105</v>
      </c>
      <c r="B30" s="21" t="n">
        <v>15000</v>
      </c>
      <c r="C30" s="20" t="n">
        <v>0.3</v>
      </c>
      <c r="D30" s="21" t="n">
        <v>0</v>
      </c>
      <c r="E30" s="19" t="s">
        <v>106</v>
      </c>
    </row>
    <row r="31" customFormat="false" ht="15" hidden="false" customHeight="true" outlineLevel="0" collapsed="false">
      <c r="A31" s="19" t="s">
        <v>107</v>
      </c>
      <c r="B31" s="21" t="n">
        <v>77700</v>
      </c>
      <c r="C31" s="20" t="n">
        <v>0.5</v>
      </c>
      <c r="D31" s="21" t="n">
        <v>305</v>
      </c>
      <c r="E31" s="19" t="s">
        <v>108</v>
      </c>
    </row>
    <row r="32" customFormat="false" ht="15" hidden="false" customHeight="true" outlineLevel="0" collapsed="false">
      <c r="A32" s="19" t="s">
        <v>109</v>
      </c>
      <c r="B32" s="21" t="n">
        <v>77700</v>
      </c>
      <c r="C32" s="20" t="n">
        <v>0.5</v>
      </c>
      <c r="D32" s="21" t="n">
        <v>305</v>
      </c>
      <c r="E32" s="19" t="s">
        <v>110</v>
      </c>
    </row>
    <row r="33" customFormat="false" ht="15" hidden="false" customHeight="true" outlineLevel="0" collapsed="false">
      <c r="A33" s="19" t="s">
        <v>111</v>
      </c>
      <c r="B33" s="21" t="n">
        <v>15000</v>
      </c>
      <c r="C33" s="20" t="n">
        <v>0.3</v>
      </c>
      <c r="D33" s="21" t="n">
        <v>305</v>
      </c>
      <c r="E33" s="19" t="s">
        <v>112</v>
      </c>
    </row>
    <row r="34" customFormat="false" ht="15" hidden="false" customHeight="true" outlineLevel="0" collapsed="false">
      <c r="A34" s="19" t="s">
        <v>113</v>
      </c>
      <c r="B34" s="21" t="n">
        <v>23000</v>
      </c>
      <c r="C34" s="20" t="n">
        <v>0</v>
      </c>
      <c r="D34" s="21" t="n">
        <v>0</v>
      </c>
      <c r="E34" s="19" t="s">
        <v>114</v>
      </c>
    </row>
    <row r="37" customFormat="false" ht="15" hidden="false" customHeight="true" outlineLevel="0" collapsed="false">
      <c r="A37" s="7" t="s">
        <v>115</v>
      </c>
      <c r="B37" s="7"/>
      <c r="C37" s="7"/>
      <c r="D37" s="7"/>
      <c r="E37" s="7"/>
    </row>
    <row r="38" customFormat="false" ht="15" hidden="false" customHeight="true" outlineLevel="0" collapsed="false">
      <c r="A38" s="18" t="s">
        <v>63</v>
      </c>
      <c r="B38" s="18" t="s">
        <v>64</v>
      </c>
      <c r="C38" s="18" t="s">
        <v>65</v>
      </c>
      <c r="D38" s="18" t="s">
        <v>66</v>
      </c>
      <c r="E38" s="18" t="s">
        <v>116</v>
      </c>
    </row>
    <row r="39" customFormat="false" ht="15" hidden="false" customHeight="true" outlineLevel="0" collapsed="false">
      <c r="A39" s="19" t="s">
        <v>117</v>
      </c>
      <c r="B39" s="21" t="n">
        <v>0</v>
      </c>
      <c r="C39" s="21" t="n">
        <v>42500</v>
      </c>
      <c r="D39" s="20" t="n">
        <v>0.15</v>
      </c>
      <c r="E39" s="19" t="s">
        <v>118</v>
      </c>
    </row>
    <row r="40" customFormat="false" ht="15" hidden="false" customHeight="true" outlineLevel="0" collapsed="false">
      <c r="A40" s="19" t="s">
        <v>119</v>
      </c>
      <c r="B40" s="21" t="n">
        <v>42500</v>
      </c>
      <c r="C40" s="21" t="n">
        <v>9999999</v>
      </c>
      <c r="D40" s="20" t="n">
        <v>0.25</v>
      </c>
      <c r="E40" s="19" t="s">
        <v>120</v>
      </c>
    </row>
    <row r="43" customFormat="false" ht="15" hidden="false" customHeight="true" outlineLevel="0" collapsed="false">
      <c r="A43" s="7" t="s">
        <v>121</v>
      </c>
      <c r="B43" s="7"/>
      <c r="C43" s="7"/>
      <c r="D43" s="7"/>
      <c r="E43" s="7"/>
    </row>
    <row r="44" customFormat="false" ht="15" hidden="false" customHeight="true" outlineLevel="0" collapsed="false">
      <c r="A44" s="18" t="s">
        <v>76</v>
      </c>
      <c r="B44" s="18" t="s">
        <v>77</v>
      </c>
      <c r="C44" s="18"/>
      <c r="D44" s="18"/>
      <c r="E44" s="18" t="s">
        <v>122</v>
      </c>
    </row>
    <row r="45" customFormat="false" ht="15" hidden="false" customHeight="true" outlineLevel="0" collapsed="false">
      <c r="A45" s="19" t="s">
        <v>123</v>
      </c>
      <c r="B45" s="20" t="n">
        <v>0.19</v>
      </c>
      <c r="C45" s="19"/>
      <c r="D45" s="19"/>
      <c r="E45" s="19" t="s">
        <v>124</v>
      </c>
    </row>
    <row r="46" customFormat="false" ht="15" hidden="false" customHeight="true" outlineLevel="0" collapsed="false">
      <c r="A46" s="19" t="s">
        <v>125</v>
      </c>
      <c r="B46" s="20" t="n">
        <v>0.172</v>
      </c>
      <c r="C46" s="19"/>
      <c r="D46" s="19"/>
      <c r="E46" s="19" t="s">
        <v>126</v>
      </c>
    </row>
    <row r="47" customFormat="false" ht="15" hidden="false" customHeight="true" outlineLevel="0" collapsed="false">
      <c r="A47" s="19" t="s">
        <v>127</v>
      </c>
      <c r="B47" s="20" t="n">
        <v>0.06</v>
      </c>
      <c r="C47" s="19"/>
      <c r="D47" s="19"/>
      <c r="E47" s="19" t="s">
        <v>128</v>
      </c>
    </row>
    <row r="48" customFormat="false" ht="15" hidden="false" customHeight="true" outlineLevel="0" collapsed="false">
      <c r="A48" s="19" t="s">
        <v>129</v>
      </c>
      <c r="B48" s="20" t="n">
        <v>0.04</v>
      </c>
      <c r="C48" s="19"/>
      <c r="D48" s="19"/>
      <c r="E48" s="19" t="s">
        <v>130</v>
      </c>
    </row>
    <row r="49" customFormat="false" ht="15" hidden="false" customHeight="true" outlineLevel="0" collapsed="false">
      <c r="A49" s="19" t="s">
        <v>131</v>
      </c>
      <c r="B49" s="20" t="n">
        <v>0.0165</v>
      </c>
      <c r="C49" s="19"/>
      <c r="D49" s="19"/>
      <c r="E49" s="19" t="s">
        <v>132</v>
      </c>
    </row>
    <row r="50" customFormat="false" ht="15" hidden="false" customHeight="true" outlineLevel="0" collapsed="false">
      <c r="A50" s="19" t="s">
        <v>133</v>
      </c>
      <c r="B50" s="20" t="n">
        <v>0.016</v>
      </c>
      <c r="C50" s="19"/>
      <c r="D50" s="19"/>
      <c r="E50" s="19"/>
    </row>
    <row r="51" customFormat="false" ht="15" hidden="false" customHeight="true" outlineLevel="0" collapsed="false">
      <c r="A51" s="19" t="s">
        <v>134</v>
      </c>
      <c r="B51" s="20" t="n">
        <v>0.09</v>
      </c>
      <c r="C51" s="19"/>
      <c r="D51" s="19"/>
      <c r="E51" s="19" t="s">
        <v>135</v>
      </c>
    </row>
    <row r="52" customFormat="false" ht="15" hidden="false" customHeight="true" outlineLevel="0" collapsed="false">
      <c r="A52" s="19" t="s">
        <v>136</v>
      </c>
      <c r="B52" s="20" t="n">
        <v>0</v>
      </c>
      <c r="C52" s="19"/>
      <c r="D52" s="19"/>
      <c r="E52" s="19" t="s">
        <v>137</v>
      </c>
    </row>
    <row r="53" customFormat="false" ht="15" hidden="false" customHeight="true" outlineLevel="0" collapsed="false">
      <c r="A53" s="19" t="s">
        <v>138</v>
      </c>
      <c r="B53" s="20" t="n">
        <v>0.02</v>
      </c>
      <c r="C53" s="19"/>
      <c r="D53" s="19"/>
      <c r="E53" s="19" t="s">
        <v>139</v>
      </c>
    </row>
    <row r="54" customFormat="false" ht="15" hidden="false" customHeight="true" outlineLevel="0" collapsed="false">
      <c r="A54" s="19" t="s">
        <v>140</v>
      </c>
      <c r="B54" s="20" t="n">
        <v>0.075</v>
      </c>
      <c r="C54" s="19"/>
      <c r="D54" s="19"/>
      <c r="E54" s="19" t="s">
        <v>141</v>
      </c>
    </row>
    <row r="55" customFormat="false" ht="15" hidden="false" customHeight="true" outlineLevel="0" collapsed="false">
      <c r="A55" s="19" t="s">
        <v>142</v>
      </c>
      <c r="B55" s="20" t="n">
        <v>0.15</v>
      </c>
      <c r="C55" s="19"/>
      <c r="D55" s="19"/>
      <c r="E55" s="19" t="s">
        <v>141</v>
      </c>
    </row>
    <row r="57" customFormat="false" ht="15" hidden="false" customHeight="true" outlineLevel="0" collapsed="false">
      <c r="A57" s="7" t="s">
        <v>143</v>
      </c>
      <c r="B57" s="7"/>
      <c r="C57" s="7"/>
      <c r="D57" s="7"/>
      <c r="E57" s="7"/>
    </row>
    <row r="58" customFormat="false" ht="15" hidden="false" customHeight="true" outlineLevel="0" collapsed="false">
      <c r="A58" s="18" t="s">
        <v>144</v>
      </c>
      <c r="B58" s="18" t="s">
        <v>145</v>
      </c>
      <c r="C58" s="18" t="s">
        <v>146</v>
      </c>
      <c r="D58" s="18" t="s">
        <v>147</v>
      </c>
      <c r="E58" s="18" t="s">
        <v>122</v>
      </c>
    </row>
    <row r="59" customFormat="false" ht="15" hidden="false" customHeight="true" outlineLevel="0" collapsed="false">
      <c r="A59" s="19" t="s">
        <v>148</v>
      </c>
      <c r="B59" s="20" t="n">
        <v>0.15</v>
      </c>
      <c r="C59" s="22" t="n">
        <v>0</v>
      </c>
      <c r="D59" s="20" t="n">
        <v>0</v>
      </c>
      <c r="E59" s="19" t="s">
        <v>149</v>
      </c>
    </row>
    <row r="60" customFormat="false" ht="15" hidden="false" customHeight="true" outlineLevel="0" collapsed="false">
      <c r="A60" s="19" t="s">
        <v>150</v>
      </c>
      <c r="B60" s="20" t="n">
        <v>0.4</v>
      </c>
      <c r="C60" s="22" t="n">
        <v>80</v>
      </c>
      <c r="D60" s="20" t="n">
        <v>0.0125</v>
      </c>
      <c r="E60" s="19" t="s">
        <v>151</v>
      </c>
    </row>
    <row r="61" customFormat="false" ht="15" hidden="false" customHeight="true" outlineLevel="0" collapsed="false">
      <c r="A61" s="19" t="s">
        <v>152</v>
      </c>
      <c r="B61" s="20" t="n">
        <v>0.1</v>
      </c>
      <c r="C61" s="22" t="n">
        <v>30</v>
      </c>
      <c r="D61" s="20" t="n">
        <v>0.0333</v>
      </c>
      <c r="E61" s="19"/>
    </row>
    <row r="62" customFormat="false" ht="15" hidden="false" customHeight="true" outlineLevel="0" collapsed="false">
      <c r="A62" s="19" t="s">
        <v>153</v>
      </c>
      <c r="B62" s="20" t="n">
        <v>0.2</v>
      </c>
      <c r="C62" s="22" t="n">
        <v>25</v>
      </c>
      <c r="D62" s="20" t="n">
        <v>0.04</v>
      </c>
      <c r="E62" s="19"/>
    </row>
    <row r="63" customFormat="false" ht="15" hidden="false" customHeight="true" outlineLevel="0" collapsed="false">
      <c r="A63" s="19" t="s">
        <v>154</v>
      </c>
      <c r="B63" s="20" t="n">
        <v>0.15</v>
      </c>
      <c r="C63" s="22" t="n">
        <v>15</v>
      </c>
      <c r="D63" s="20" t="n">
        <v>0.0667</v>
      </c>
      <c r="E63" s="19"/>
    </row>
    <row r="64" customFormat="false" ht="15" hidden="false" customHeight="true" outlineLevel="0" collapsed="false">
      <c r="A64" s="19" t="s">
        <v>155</v>
      </c>
      <c r="B64" s="20" t="n">
        <v>1</v>
      </c>
      <c r="C64" s="22" t="n">
        <v>7</v>
      </c>
      <c r="D64" s="20" t="n">
        <v>0.1429</v>
      </c>
      <c r="E64" s="19" t="s">
        <v>156</v>
      </c>
    </row>
    <row r="65" customFormat="false" ht="15" hidden="false" customHeight="true" outlineLevel="0" collapsed="false">
      <c r="A65" s="19" t="s">
        <v>157</v>
      </c>
      <c r="B65" s="20" t="n">
        <v>1</v>
      </c>
      <c r="C65" s="22" t="n">
        <v>10</v>
      </c>
      <c r="D65" s="20" t="n">
        <v>0.1</v>
      </c>
      <c r="E65" s="19" t="s">
        <v>158</v>
      </c>
    </row>
    <row r="68" customFormat="false" ht="15" hidden="false" customHeight="true" outlineLevel="0" collapsed="false">
      <c r="A68" s="7" t="s">
        <v>159</v>
      </c>
      <c r="B68" s="7"/>
      <c r="C68" s="7"/>
      <c r="D68" s="7"/>
      <c r="E68" s="7"/>
    </row>
    <row r="69" customFormat="false" ht="15" hidden="false" customHeight="true" outlineLevel="0" collapsed="false">
      <c r="A69" s="18" t="s">
        <v>76</v>
      </c>
      <c r="B69" s="18" t="s">
        <v>77</v>
      </c>
      <c r="C69" s="18"/>
      <c r="D69" s="18"/>
      <c r="E69" s="18" t="s">
        <v>122</v>
      </c>
    </row>
    <row r="70" customFormat="false" ht="15" hidden="false" customHeight="true" outlineLevel="0" collapsed="false">
      <c r="A70" s="19" t="s">
        <v>160</v>
      </c>
      <c r="B70" s="21" t="n">
        <v>10700</v>
      </c>
      <c r="C70" s="19"/>
      <c r="D70" s="19"/>
      <c r="E70" s="19" t="s">
        <v>161</v>
      </c>
    </row>
    <row r="71" customFormat="false" ht="15" hidden="false" customHeight="true" outlineLevel="0" collapsed="false">
      <c r="A71" s="19" t="s">
        <v>162</v>
      </c>
      <c r="B71" s="21" t="n">
        <v>21400</v>
      </c>
      <c r="C71" s="19"/>
      <c r="D71" s="19"/>
      <c r="E71" s="19" t="s">
        <v>163</v>
      </c>
    </row>
    <row r="72" customFormat="false" ht="15" hidden="false" customHeight="true" outlineLevel="0" collapsed="false">
      <c r="A72" s="19" t="s">
        <v>164</v>
      </c>
      <c r="B72" s="21" t="n">
        <v>10</v>
      </c>
      <c r="C72" s="19"/>
      <c r="D72" s="19"/>
      <c r="E72" s="19" t="s">
        <v>165</v>
      </c>
    </row>
    <row r="73" customFormat="false" ht="15" hidden="false" customHeight="true" outlineLevel="0" collapsed="false">
      <c r="A73" s="19" t="s">
        <v>166</v>
      </c>
      <c r="B73" s="21" t="n">
        <v>3</v>
      </c>
      <c r="C73" s="19"/>
      <c r="D73" s="19"/>
      <c r="E73" s="19" t="s">
        <v>167</v>
      </c>
    </row>
  </sheetData>
  <mergeCells count="9">
    <mergeCell ref="A1:E1"/>
    <mergeCell ref="A3:E3"/>
    <mergeCell ref="A11:E11"/>
    <mergeCell ref="A19:E19"/>
    <mergeCell ref="A28:E28"/>
    <mergeCell ref="A37:E37"/>
    <mergeCell ref="A43:E43"/>
    <mergeCell ref="A57:E57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24.75" hidden="false" customHeight="true" outlineLevel="0" collapsed="false">
      <c r="A1" s="2" t="s">
        <v>168</v>
      </c>
      <c r="B1" s="2"/>
      <c r="C1" s="2"/>
      <c r="D1" s="2"/>
    </row>
    <row r="2" customFormat="false" ht="15" hidden="false" customHeight="true" outlineLevel="0" collapsed="false">
      <c r="A2" s="23" t="s">
        <v>169</v>
      </c>
      <c r="B2" s="23"/>
      <c r="C2" s="23"/>
      <c r="D2" s="23"/>
    </row>
    <row r="3" customFormat="false" ht="15" hidden="false" customHeight="true" outlineLevel="0" collapsed="false">
      <c r="A3" s="4"/>
      <c r="B3" s="4"/>
      <c r="C3" s="4"/>
      <c r="D3" s="4"/>
    </row>
    <row r="4" customFormat="false" ht="15" hidden="false" customHeight="true" outlineLevel="0" collapsed="false">
      <c r="A4" s="24" t="s">
        <v>170</v>
      </c>
      <c r="B4" s="24"/>
      <c r="C4" s="24"/>
      <c r="D4" s="24"/>
    </row>
    <row r="5" customFormat="false" ht="15" hidden="false" customHeight="true" outlineLevel="0" collapsed="false">
      <c r="A5" s="4" t="s">
        <v>171</v>
      </c>
      <c r="B5" s="25" t="n">
        <v>0.3</v>
      </c>
      <c r="C5" s="4" t="s">
        <v>172</v>
      </c>
      <c r="D5" s="4" t="s">
        <v>173</v>
      </c>
    </row>
    <row r="6" customFormat="false" ht="15" hidden="false" customHeight="true" outlineLevel="0" collapsed="false">
      <c r="A6" s="4" t="s">
        <v>174</v>
      </c>
      <c r="B6" s="26" t="n">
        <v>2</v>
      </c>
      <c r="C6" s="4" t="s">
        <v>175</v>
      </c>
      <c r="D6" s="4" t="s">
        <v>176</v>
      </c>
    </row>
    <row r="7" customFormat="false" ht="15" hidden="false" customHeight="true" outlineLevel="0" collapsed="false">
      <c r="A7" s="4" t="s">
        <v>177</v>
      </c>
      <c r="B7" s="27" t="n">
        <v>60000</v>
      </c>
      <c r="C7" s="4" t="s">
        <v>178</v>
      </c>
      <c r="D7" s="4" t="s">
        <v>179</v>
      </c>
    </row>
    <row r="8" customFormat="false" ht="15" hidden="false" customHeight="true" outlineLevel="0" collapsed="false">
      <c r="A8" s="4"/>
      <c r="B8" s="4"/>
      <c r="C8" s="4"/>
      <c r="D8" s="4"/>
    </row>
    <row r="9" customFormat="false" ht="15" hidden="false" customHeight="true" outlineLevel="0" collapsed="false">
      <c r="A9" s="24" t="s">
        <v>180</v>
      </c>
      <c r="B9" s="24"/>
      <c r="C9" s="24"/>
      <c r="D9" s="24"/>
    </row>
    <row r="10" customFormat="false" ht="15" hidden="false" customHeight="true" outlineLevel="0" collapsed="false">
      <c r="A10" s="4" t="s">
        <v>181</v>
      </c>
      <c r="B10" s="27" t="n">
        <v>250000</v>
      </c>
      <c r="C10" s="4" t="s">
        <v>182</v>
      </c>
      <c r="D10" s="4" t="s">
        <v>183</v>
      </c>
    </row>
    <row r="11" customFormat="false" ht="15" hidden="false" customHeight="true" outlineLevel="0" collapsed="false">
      <c r="A11" s="4" t="s">
        <v>184</v>
      </c>
      <c r="B11" s="27" t="n">
        <v>17500</v>
      </c>
      <c r="C11" s="4" t="s">
        <v>182</v>
      </c>
      <c r="D11" s="4" t="s">
        <v>185</v>
      </c>
    </row>
    <row r="12" customFormat="false" ht="15" hidden="false" customHeight="true" outlineLevel="0" collapsed="false">
      <c r="A12" s="4" t="s">
        <v>186</v>
      </c>
      <c r="B12" s="27" t="n">
        <v>15000</v>
      </c>
      <c r="C12" s="4" t="s">
        <v>182</v>
      </c>
      <c r="D12" s="4" t="s">
        <v>187</v>
      </c>
    </row>
    <row r="13" customFormat="false" ht="15" hidden="false" customHeight="true" outlineLevel="0" collapsed="false">
      <c r="A13" s="4" t="s">
        <v>188</v>
      </c>
      <c r="B13" s="27" t="n">
        <v>8000</v>
      </c>
      <c r="C13" s="4" t="s">
        <v>182</v>
      </c>
      <c r="D13" s="4" t="s">
        <v>189</v>
      </c>
    </row>
    <row r="14" customFormat="false" ht="15" hidden="false" customHeight="true" outlineLevel="0" collapsed="false">
      <c r="A14" s="4" t="s">
        <v>190</v>
      </c>
      <c r="B14" s="25" t="n">
        <v>0.15</v>
      </c>
      <c r="C14" s="4" t="s">
        <v>172</v>
      </c>
      <c r="D14" s="4" t="s">
        <v>191</v>
      </c>
    </row>
    <row r="15" customFormat="false" ht="15" hidden="false" customHeight="true" outlineLevel="0" collapsed="false">
      <c r="A15" s="4"/>
      <c r="B15" s="4"/>
      <c r="C15" s="4"/>
      <c r="D15" s="4"/>
    </row>
    <row r="16" customFormat="false" ht="15" hidden="false" customHeight="true" outlineLevel="0" collapsed="false">
      <c r="A16" s="24" t="s">
        <v>192</v>
      </c>
      <c r="B16" s="24"/>
      <c r="C16" s="24"/>
      <c r="D16" s="24"/>
    </row>
    <row r="17" customFormat="false" ht="15" hidden="false" customHeight="true" outlineLevel="0" collapsed="false">
      <c r="A17" s="4" t="s">
        <v>193</v>
      </c>
      <c r="B17" s="27" t="n">
        <v>30000</v>
      </c>
      <c r="C17" s="4" t="s">
        <v>182</v>
      </c>
      <c r="D17" s="4"/>
    </row>
    <row r="18" customFormat="false" ht="15" hidden="false" customHeight="true" outlineLevel="0" collapsed="false">
      <c r="A18" s="4" t="s">
        <v>194</v>
      </c>
      <c r="B18" s="28" t="n">
        <f aca="false">B10+B11+B12-B17</f>
        <v>252500</v>
      </c>
      <c r="C18" s="4" t="s">
        <v>182</v>
      </c>
      <c r="D18" s="4" t="s">
        <v>195</v>
      </c>
    </row>
    <row r="19" customFormat="false" ht="15" hidden="false" customHeight="true" outlineLevel="0" collapsed="false">
      <c r="A19" s="4" t="s">
        <v>196</v>
      </c>
      <c r="B19" s="25" t="n">
        <v>0.04</v>
      </c>
      <c r="C19" s="4" t="s">
        <v>172</v>
      </c>
      <c r="D19" s="4" t="s">
        <v>197</v>
      </c>
    </row>
    <row r="20" customFormat="false" ht="15" hidden="false" customHeight="true" outlineLevel="0" collapsed="false">
      <c r="A20" s="4" t="s">
        <v>198</v>
      </c>
      <c r="B20" s="29" t="n">
        <v>20</v>
      </c>
      <c r="C20" s="4" t="s">
        <v>199</v>
      </c>
      <c r="D20" s="4"/>
    </row>
    <row r="21" customFormat="false" ht="15" hidden="false" customHeight="true" outlineLevel="0" collapsed="false">
      <c r="A21" s="4" t="s">
        <v>200</v>
      </c>
      <c r="B21" s="25" t="n">
        <v>0.0036</v>
      </c>
      <c r="C21" s="4" t="s">
        <v>172</v>
      </c>
      <c r="D21" s="4" t="s">
        <v>201</v>
      </c>
    </row>
    <row r="22" customFormat="false" ht="15" hidden="false" customHeight="true" outlineLevel="0" collapsed="false">
      <c r="A22" s="4"/>
      <c r="B22" s="4"/>
      <c r="C22" s="4"/>
      <c r="D22" s="4"/>
    </row>
    <row r="23" customFormat="false" ht="15" hidden="false" customHeight="true" outlineLevel="0" collapsed="false">
      <c r="A23" s="24" t="s">
        <v>202</v>
      </c>
      <c r="B23" s="24"/>
      <c r="C23" s="24"/>
      <c r="D23" s="24"/>
    </row>
    <row r="24" customFormat="false" ht="15" hidden="false" customHeight="true" outlineLevel="0" collapsed="false">
      <c r="A24" s="4" t="s">
        <v>203</v>
      </c>
      <c r="B24" s="27" t="n">
        <v>1100</v>
      </c>
      <c r="C24" s="4" t="s">
        <v>204</v>
      </c>
      <c r="D24" s="4" t="s">
        <v>205</v>
      </c>
    </row>
    <row r="25" customFormat="false" ht="15" hidden="false" customHeight="true" outlineLevel="0" collapsed="false">
      <c r="A25" s="4" t="s">
        <v>206</v>
      </c>
      <c r="B25" s="28" t="n">
        <f aca="false">B24*12</f>
        <v>13200</v>
      </c>
      <c r="C25" s="4" t="s">
        <v>178</v>
      </c>
      <c r="D25" s="4" t="s">
        <v>207</v>
      </c>
    </row>
    <row r="26" customFormat="false" ht="15" hidden="false" customHeight="true" outlineLevel="0" collapsed="false">
      <c r="A26" s="4" t="s">
        <v>208</v>
      </c>
      <c r="B26" s="25" t="n">
        <v>0.04</v>
      </c>
      <c r="C26" s="4" t="s">
        <v>172</v>
      </c>
      <c r="D26" s="4" t="s">
        <v>209</v>
      </c>
    </row>
    <row r="27" customFormat="false" ht="15" hidden="false" customHeight="true" outlineLevel="0" collapsed="false">
      <c r="A27" s="4" t="s">
        <v>210</v>
      </c>
      <c r="B27" s="27" t="n">
        <v>600</v>
      </c>
      <c r="C27" s="4" t="s">
        <v>178</v>
      </c>
      <c r="D27" s="4" t="s">
        <v>211</v>
      </c>
    </row>
    <row r="28" customFormat="false" ht="15" hidden="false" customHeight="true" outlineLevel="0" collapsed="false">
      <c r="A28" s="4" t="s">
        <v>212</v>
      </c>
      <c r="B28" s="27" t="n">
        <v>1400</v>
      </c>
      <c r="C28" s="4" t="s">
        <v>178</v>
      </c>
      <c r="D28" s="4"/>
    </row>
    <row r="29" customFormat="false" ht="15" hidden="false" customHeight="true" outlineLevel="0" collapsed="false">
      <c r="A29" s="4" t="s">
        <v>213</v>
      </c>
      <c r="B29" s="27" t="n">
        <v>180</v>
      </c>
      <c r="C29" s="4" t="s">
        <v>178</v>
      </c>
      <c r="D29" s="4" t="s">
        <v>214</v>
      </c>
    </row>
    <row r="30" customFormat="false" ht="15" hidden="false" customHeight="true" outlineLevel="0" collapsed="false">
      <c r="A30" s="4" t="s">
        <v>215</v>
      </c>
      <c r="B30" s="27" t="n">
        <v>0</v>
      </c>
      <c r="C30" s="4" t="s">
        <v>178</v>
      </c>
      <c r="D30" s="4" t="s">
        <v>216</v>
      </c>
    </row>
    <row r="31" customFormat="false" ht="15" hidden="false" customHeight="true" outlineLevel="0" collapsed="false">
      <c r="A31" s="4" t="s">
        <v>217</v>
      </c>
      <c r="B31" s="27" t="n">
        <v>600</v>
      </c>
      <c r="C31" s="4" t="s">
        <v>178</v>
      </c>
      <c r="D31" s="4" t="s">
        <v>218</v>
      </c>
    </row>
    <row r="32" customFormat="false" ht="15" hidden="false" customHeight="true" outlineLevel="0" collapsed="false">
      <c r="A32" s="4" t="s">
        <v>219</v>
      </c>
      <c r="B32" s="27" t="n">
        <v>600</v>
      </c>
      <c r="C32" s="4" t="s">
        <v>178</v>
      </c>
      <c r="D32" s="4" t="s">
        <v>220</v>
      </c>
    </row>
    <row r="33" customFormat="false" ht="15" hidden="false" customHeight="true" outlineLevel="0" collapsed="false">
      <c r="A33" s="4"/>
      <c r="B33" s="4"/>
      <c r="C33" s="4"/>
      <c r="D33" s="4"/>
    </row>
    <row r="34" customFormat="false" ht="15" hidden="false" customHeight="true" outlineLevel="0" collapsed="false">
      <c r="A34" s="24" t="s">
        <v>221</v>
      </c>
      <c r="B34" s="24"/>
      <c r="C34" s="24"/>
      <c r="D34" s="24"/>
    </row>
    <row r="35" customFormat="false" ht="15" hidden="false" customHeight="true" outlineLevel="0" collapsed="false">
      <c r="A35" s="4" t="s">
        <v>222</v>
      </c>
      <c r="B35" s="29" t="n">
        <v>20</v>
      </c>
      <c r="C35" s="4" t="s">
        <v>199</v>
      </c>
      <c r="D35" s="4" t="s">
        <v>223</v>
      </c>
    </row>
    <row r="36" customFormat="false" ht="15" hidden="false" customHeight="true" outlineLevel="0" collapsed="false">
      <c r="A36" s="4" t="s">
        <v>224</v>
      </c>
      <c r="B36" s="25" t="n">
        <v>0.02</v>
      </c>
      <c r="C36" s="4" t="s">
        <v>172</v>
      </c>
      <c r="D36" s="4" t="s">
        <v>225</v>
      </c>
    </row>
  </sheetData>
  <mergeCells count="7">
    <mergeCell ref="A1:D1"/>
    <mergeCell ref="A2:D2"/>
    <mergeCell ref="A4:D4"/>
    <mergeCell ref="A9:D9"/>
    <mergeCell ref="A16:D16"/>
    <mergeCell ref="A23:D23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50"/>
    <col collapsed="false" customWidth="true" hidden="false" outlineLevel="0" max="5" min="5" style="1" width="4"/>
  </cols>
  <sheetData>
    <row r="1" customFormat="false" ht="24.75" hidden="false" customHeight="true" outlineLevel="0" collapsed="false">
      <c r="A1" s="2" t="s">
        <v>226</v>
      </c>
      <c r="B1" s="2"/>
      <c r="C1" s="2"/>
      <c r="D1" s="2"/>
      <c r="E1" s="2"/>
    </row>
    <row r="2" customFormat="false" ht="15" hidden="false" customHeight="true" outlineLevel="0" collapsed="false">
      <c r="A2" s="3" t="s">
        <v>227</v>
      </c>
      <c r="B2" s="3"/>
      <c r="C2" s="3"/>
      <c r="D2" s="3"/>
      <c r="E2" s="3"/>
    </row>
    <row r="4" customFormat="false" ht="15" hidden="false" customHeight="true" outlineLevel="0" collapsed="false">
      <c r="A4" s="7" t="s">
        <v>228</v>
      </c>
      <c r="B4" s="7"/>
      <c r="C4" s="7"/>
      <c r="D4" s="7"/>
      <c r="E4" s="7"/>
    </row>
    <row r="5" customFormat="false" ht="15" hidden="false" customHeight="true" outlineLevel="0" collapsed="false">
      <c r="A5" s="4" t="s">
        <v>229</v>
      </c>
      <c r="B5" s="30" t="n">
        <f aca="false">02_Inputs_simulation!$B$25</f>
        <v>13200</v>
      </c>
      <c r="D5" s="31" t="s">
        <v>230</v>
      </c>
    </row>
    <row r="6" customFormat="false" ht="15" hidden="false" customHeight="true" outlineLevel="0" collapsed="false">
      <c r="A6" s="4" t="s">
        <v>231</v>
      </c>
      <c r="B6" s="30" t="n">
        <f aca="false">-02_Inputs_simulation!$B$25*02_Inputs_simulation!$B$26</f>
        <v>-528</v>
      </c>
      <c r="D6" s="31" t="s">
        <v>232</v>
      </c>
    </row>
    <row r="7" customFormat="false" ht="15" hidden="false" customHeight="true" outlineLevel="0" collapsed="false">
      <c r="A7" s="4" t="s">
        <v>233</v>
      </c>
      <c r="B7" s="30" t="n">
        <f aca="false">B5+B6</f>
        <v>12672</v>
      </c>
      <c r="D7" s="31" t="s">
        <v>234</v>
      </c>
    </row>
    <row r="8" customFormat="false" ht="15" hidden="false" customHeight="true" outlineLevel="0" collapsed="false">
      <c r="A8" s="4" t="s">
        <v>235</v>
      </c>
      <c r="B8" s="32" t="str">
        <f aca="false">IF(B7&lt;=01_Paramètres_2026!$B$30,"✓ Éligible micro-foncier","✗ HORS PLAFOND - bascule auto régime réel")</f>
        <v>✓ Éligible micro-foncier</v>
      </c>
    </row>
    <row r="9" customFormat="false" ht="15" hidden="false" customHeight="true" outlineLevel="0" collapsed="false">
      <c r="A9" s="4" t="s">
        <v>236</v>
      </c>
      <c r="B9" s="30" t="n">
        <f aca="false">-B7*01_Paramètres_2026!$C$30</f>
        <v>-3801.6</v>
      </c>
      <c r="D9" s="31" t="s">
        <v>237</v>
      </c>
    </row>
    <row r="10" customFormat="false" ht="15" hidden="false" customHeight="true" outlineLevel="0" collapsed="false">
      <c r="A10" s="4" t="s">
        <v>238</v>
      </c>
      <c r="B10" s="30" t="n">
        <f aca="false">B7+B9</f>
        <v>8870.4</v>
      </c>
      <c r="D10" s="31" t="s">
        <v>239</v>
      </c>
    </row>
    <row r="12" customFormat="false" ht="15" hidden="false" customHeight="true" outlineLevel="0" collapsed="false">
      <c r="A12" s="7" t="s">
        <v>240</v>
      </c>
      <c r="B12" s="7"/>
      <c r="C12" s="7"/>
      <c r="D12" s="7"/>
      <c r="E12" s="7"/>
    </row>
    <row r="13" customFormat="false" ht="15" hidden="false" customHeight="true" outlineLevel="0" collapsed="false">
      <c r="A13" s="4" t="s">
        <v>241</v>
      </c>
      <c r="B13" s="33" t="n">
        <f aca="false">02_Inputs_simulation!$B$5</f>
        <v>0.3</v>
      </c>
    </row>
    <row r="14" customFormat="false" ht="21.75" hidden="false" customHeight="true" outlineLevel="0" collapsed="false">
      <c r="A14" s="4" t="s">
        <v>242</v>
      </c>
      <c r="B14" s="30" t="n">
        <f aca="false">B10*B13</f>
        <v>2661.12</v>
      </c>
      <c r="D14" s="31" t="s">
        <v>243</v>
      </c>
    </row>
    <row r="16" customFormat="false" ht="15" hidden="false" customHeight="true" outlineLevel="0" collapsed="false">
      <c r="A16" s="7" t="s">
        <v>244</v>
      </c>
      <c r="B16" s="7"/>
      <c r="C16" s="7"/>
      <c r="D16" s="7"/>
      <c r="E16" s="7"/>
    </row>
    <row r="17" customFormat="false" ht="15" hidden="false" customHeight="true" outlineLevel="0" collapsed="false">
      <c r="A17" s="4" t="s">
        <v>245</v>
      </c>
      <c r="B17" s="33" t="n">
        <f aca="false">01_Paramètres_2026!$B$21</f>
        <v>0.172</v>
      </c>
      <c r="D17" s="31" t="s">
        <v>246</v>
      </c>
    </row>
    <row r="18" customFormat="false" ht="15" hidden="false" customHeight="true" outlineLevel="0" collapsed="false">
      <c r="A18" s="4" t="s">
        <v>247</v>
      </c>
      <c r="B18" s="30" t="n">
        <f aca="false">B10*B17</f>
        <v>1525.7088</v>
      </c>
    </row>
    <row r="20" customFormat="false" ht="15" hidden="false" customHeight="true" outlineLevel="0" collapsed="false">
      <c r="A20" s="7" t="s">
        <v>248</v>
      </c>
      <c r="B20" s="7"/>
      <c r="C20" s="7"/>
      <c r="D20" s="7"/>
      <c r="E20" s="7"/>
    </row>
    <row r="21" customFormat="false" ht="15" hidden="false" customHeight="true" outlineLevel="0" collapsed="false">
      <c r="A21" s="4" t="s">
        <v>249</v>
      </c>
      <c r="B21" s="34" t="n">
        <f aca="false">B14+B18</f>
        <v>4186.8288</v>
      </c>
    </row>
    <row r="22" customFormat="false" ht="15" hidden="false" customHeight="true" outlineLevel="0" collapsed="false">
      <c r="A22" s="4" t="s">
        <v>250</v>
      </c>
      <c r="B22" s="35" t="n">
        <f aca="false">B21/B7</f>
        <v>0.3304</v>
      </c>
    </row>
    <row r="24" customFormat="false" ht="15" hidden="false" customHeight="true" outlineLevel="0" collapsed="false">
      <c r="A24" s="7" t="s">
        <v>251</v>
      </c>
      <c r="B24" s="7"/>
      <c r="C24" s="7"/>
      <c r="D24" s="7"/>
      <c r="E24" s="7"/>
    </row>
    <row r="25" customFormat="false" ht="15" hidden="false" customHeight="true" outlineLevel="0" collapsed="false">
      <c r="A25" s="4" t="s">
        <v>233</v>
      </c>
      <c r="B25" s="30" t="n">
        <f aca="false">B7</f>
        <v>12672</v>
      </c>
    </row>
    <row r="26" customFormat="false" ht="15" hidden="false" customHeight="true" outlineLevel="0" collapsed="false">
      <c r="A26" s="4" t="s">
        <v>252</v>
      </c>
      <c r="B26" s="30" t="n">
        <f aca="false">-(02_Inputs_simulation!$B$27+02_Inputs_simulation!$B$28+02_Inputs_simulation!$B$29+02_Inputs_simulation!$B$30+02_Inputs_simulation!$B$31)</f>
        <v>-2780</v>
      </c>
      <c r="D26" s="31" t="s">
        <v>253</v>
      </c>
    </row>
    <row r="27" customFormat="false" ht="15" hidden="false" customHeight="true" outlineLevel="0" collapsed="false">
      <c r="A27" s="4" t="s">
        <v>254</v>
      </c>
      <c r="B27" s="30" t="n">
        <f aca="false">-(IF(02_Inputs_simulation!$B$18&gt;0,-PMT((02_Inputs_simulation!$B$19+02_Inputs_simulation!$B$21)/12,02_Inputs_simulation!$B$20*12,02_Inputs_simulation!$B$18)*12,0))</f>
        <v>-18941.0543243076</v>
      </c>
      <c r="D27" s="31" t="s">
        <v>255</v>
      </c>
    </row>
    <row r="28" customFormat="false" ht="15" hidden="false" customHeight="true" outlineLevel="0" collapsed="false">
      <c r="A28" s="4" t="s">
        <v>256</v>
      </c>
      <c r="B28" s="30" t="n">
        <f aca="false">-B21</f>
        <v>-4186.8288</v>
      </c>
    </row>
    <row r="29" customFormat="false" ht="15" hidden="false" customHeight="true" outlineLevel="0" collapsed="false">
      <c r="A29" s="4" t="s">
        <v>257</v>
      </c>
      <c r="B29" s="34" t="n">
        <f aca="false">B25+B26+B27+B28</f>
        <v>-13235.8831243076</v>
      </c>
    </row>
    <row r="31" customFormat="false" ht="15" hidden="false" customHeight="true" outlineLevel="0" collapsed="false">
      <c r="A31" s="7" t="s">
        <v>258</v>
      </c>
      <c r="B31" s="7"/>
      <c r="C31" s="7"/>
      <c r="D31" s="7"/>
      <c r="E31" s="7"/>
    </row>
    <row r="32" customFormat="false" ht="15" hidden="false" customHeight="true" outlineLevel="0" collapsed="false">
      <c r="A32" s="36" t="s">
        <v>259</v>
      </c>
      <c r="B32" s="36"/>
      <c r="C32" s="36"/>
      <c r="D32" s="36"/>
      <c r="E32" s="36"/>
    </row>
    <row r="33" customFormat="false" ht="15" hidden="false" customHeight="true" outlineLevel="0" collapsed="false">
      <c r="A33" s="36" t="s">
        <v>260</v>
      </c>
      <c r="B33" s="36"/>
      <c r="C33" s="36"/>
      <c r="D33" s="36"/>
      <c r="E33" s="36"/>
    </row>
    <row r="34" customFormat="false" ht="15" hidden="false" customHeight="true" outlineLevel="0" collapsed="false">
      <c r="A34" s="36" t="s">
        <v>261</v>
      </c>
      <c r="B34" s="36"/>
      <c r="C34" s="36"/>
      <c r="D34" s="36"/>
      <c r="E34" s="36"/>
    </row>
    <row r="35" customFormat="false" ht="15" hidden="false" customHeight="true" outlineLevel="0" collapsed="false">
      <c r="A35" s="37" t="s">
        <v>262</v>
      </c>
      <c r="B35" s="37"/>
      <c r="C35" s="37"/>
      <c r="D35" s="37"/>
      <c r="E35" s="37"/>
    </row>
    <row r="36" customFormat="false" ht="15" hidden="false" customHeight="true" outlineLevel="0" collapsed="false">
      <c r="A36" s="37" t="s">
        <v>263</v>
      </c>
      <c r="B36" s="37"/>
      <c r="C36" s="37"/>
      <c r="D36" s="37"/>
      <c r="E36" s="37"/>
    </row>
    <row r="37" customFormat="false" ht="15" hidden="false" customHeight="true" outlineLevel="0" collapsed="false">
      <c r="A37" s="37" t="s">
        <v>264</v>
      </c>
      <c r="B37" s="37"/>
      <c r="C37" s="37"/>
      <c r="D37" s="37"/>
      <c r="E37" s="37"/>
    </row>
    <row r="38" customFormat="false" ht="15" hidden="false" customHeight="true" outlineLevel="0" collapsed="false">
      <c r="A38" s="37" t="s">
        <v>265</v>
      </c>
      <c r="B38" s="37"/>
      <c r="C38" s="37"/>
      <c r="D38" s="37"/>
      <c r="E38" s="37"/>
    </row>
    <row r="39" customFormat="false" ht="15" hidden="false" customHeight="true" outlineLevel="0" collapsed="false">
      <c r="A39" s="38" t="s">
        <v>266</v>
      </c>
      <c r="B39" s="38"/>
      <c r="C39" s="38"/>
      <c r="D39" s="38"/>
      <c r="E39" s="38"/>
    </row>
  </sheetData>
  <mergeCells count="16">
    <mergeCell ref="A1:E1"/>
    <mergeCell ref="A2:E2"/>
    <mergeCell ref="A4:E4"/>
    <mergeCell ref="A12:E12"/>
    <mergeCell ref="A16:E16"/>
    <mergeCell ref="A20:E20"/>
    <mergeCell ref="A24:E24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55"/>
    <col collapsed="false" customWidth="true" hidden="false" outlineLevel="0" max="5" min="5" style="1" width="4"/>
  </cols>
  <sheetData>
    <row r="1" customFormat="false" ht="24.75" hidden="false" customHeight="true" outlineLevel="0" collapsed="false">
      <c r="A1" s="2" t="s">
        <v>267</v>
      </c>
      <c r="B1" s="2"/>
      <c r="C1" s="2"/>
      <c r="D1" s="2"/>
      <c r="E1" s="2"/>
    </row>
    <row r="2" customFormat="false" ht="15" hidden="false" customHeight="true" outlineLevel="0" collapsed="false">
      <c r="A2" s="3" t="s">
        <v>268</v>
      </c>
      <c r="B2" s="3"/>
      <c r="C2" s="3"/>
      <c r="D2" s="3"/>
      <c r="E2" s="3"/>
    </row>
    <row r="4" customFormat="false" ht="15" hidden="false" customHeight="true" outlineLevel="0" collapsed="false">
      <c r="A4" s="7" t="s">
        <v>269</v>
      </c>
      <c r="B4" s="7"/>
      <c r="C4" s="7"/>
      <c r="D4" s="7"/>
      <c r="E4" s="7"/>
    </row>
    <row r="5" customFormat="false" ht="15" hidden="false" customHeight="true" outlineLevel="0" collapsed="false">
      <c r="A5" s="4" t="s">
        <v>229</v>
      </c>
      <c r="B5" s="30" t="n">
        <f aca="false">02_Inputs_simulation!$B$25</f>
        <v>13200</v>
      </c>
    </row>
    <row r="6" customFormat="false" ht="15" hidden="false" customHeight="true" outlineLevel="0" collapsed="false">
      <c r="A6" s="4" t="s">
        <v>270</v>
      </c>
      <c r="B6" s="30" t="n">
        <f aca="false">-02_Inputs_simulation!$B$25*02_Inputs_simulation!$B$26</f>
        <v>-528</v>
      </c>
    </row>
    <row r="7" customFormat="false" ht="15" hidden="false" customHeight="true" outlineLevel="0" collapsed="false">
      <c r="A7" s="4" t="s">
        <v>233</v>
      </c>
      <c r="B7" s="30" t="n">
        <f aca="false">B5+B6</f>
        <v>12672</v>
      </c>
    </row>
    <row r="9" customFormat="false" ht="15" hidden="false" customHeight="true" outlineLevel="0" collapsed="false">
      <c r="A9" s="7" t="s">
        <v>271</v>
      </c>
      <c r="B9" s="7"/>
      <c r="C9" s="7"/>
      <c r="D9" s="7"/>
      <c r="E9" s="7"/>
    </row>
    <row r="10" customFormat="false" ht="15" hidden="false" customHeight="true" outlineLevel="0" collapsed="false">
      <c r="A10" s="4" t="s">
        <v>272</v>
      </c>
      <c r="B10" s="30" t="n">
        <f aca="false">-02_Inputs_simulation!$B$27</f>
        <v>-600</v>
      </c>
    </row>
    <row r="11" customFormat="false" ht="15" hidden="false" customHeight="true" outlineLevel="0" collapsed="false">
      <c r="A11" s="4" t="s">
        <v>212</v>
      </c>
      <c r="B11" s="30" t="n">
        <f aca="false">-02_Inputs_simulation!$B$28</f>
        <v>-1400</v>
      </c>
    </row>
    <row r="12" customFormat="false" ht="15" hidden="false" customHeight="true" outlineLevel="0" collapsed="false">
      <c r="A12" s="4" t="s">
        <v>213</v>
      </c>
      <c r="B12" s="30" t="n">
        <f aca="false">-02_Inputs_simulation!$B$29</f>
        <v>-180</v>
      </c>
    </row>
    <row r="13" customFormat="false" ht="15" hidden="false" customHeight="true" outlineLevel="0" collapsed="false">
      <c r="A13" s="4" t="s">
        <v>215</v>
      </c>
      <c r="B13" s="30" t="n">
        <f aca="false">-02_Inputs_simulation!$B$30</f>
        <v>-0</v>
      </c>
    </row>
    <row r="14" customFormat="false" ht="21.75" hidden="false" customHeight="true" outlineLevel="0" collapsed="false">
      <c r="A14" s="4" t="s">
        <v>273</v>
      </c>
      <c r="B14" s="30" t="n">
        <f aca="false">-02_Inputs_simulation!$B$31</f>
        <v>-600</v>
      </c>
      <c r="D14" s="31" t="s">
        <v>274</v>
      </c>
    </row>
    <row r="15" customFormat="false" ht="15" hidden="false" customHeight="true" outlineLevel="0" collapsed="false">
      <c r="A15" s="4" t="s">
        <v>275</v>
      </c>
      <c r="B15" s="30" t="n">
        <f aca="false">-(02_Inputs_simulation!$B$18*02_Inputs_simulation!$B$19+02_Inputs_simulation!$B$18*02_Inputs_simulation!$B$21)</f>
        <v>-11009</v>
      </c>
      <c r="D15" s="31" t="s">
        <v>276</v>
      </c>
    </row>
    <row r="16" customFormat="false" ht="15" hidden="false" customHeight="true" outlineLevel="0" collapsed="false">
      <c r="A16" s="4" t="s">
        <v>277</v>
      </c>
      <c r="B16" s="30" t="n">
        <v>-20</v>
      </c>
      <c r="D16" s="31" t="s">
        <v>278</v>
      </c>
    </row>
    <row r="17" customFormat="false" ht="15" hidden="false" customHeight="true" outlineLevel="0" collapsed="false">
      <c r="A17" s="4" t="s">
        <v>279</v>
      </c>
      <c r="B17" s="30" t="n">
        <f aca="false">SUM(B10:B16)</f>
        <v>-13809</v>
      </c>
    </row>
    <row r="19" customFormat="false" ht="15" hidden="false" customHeight="true" outlineLevel="0" collapsed="false">
      <c r="A19" s="7" t="s">
        <v>280</v>
      </c>
      <c r="B19" s="7"/>
      <c r="C19" s="7"/>
      <c r="D19" s="7"/>
      <c r="E19" s="7"/>
    </row>
    <row r="20" customFormat="false" ht="15" hidden="false" customHeight="true" outlineLevel="0" collapsed="false">
      <c r="A20" s="4" t="s">
        <v>281</v>
      </c>
      <c r="B20" s="30" t="n">
        <f aca="false">B7+B17</f>
        <v>-1137</v>
      </c>
      <c r="D20" s="31" t="s">
        <v>282</v>
      </c>
    </row>
    <row r="21" customFormat="false" ht="15" hidden="false" customHeight="true" outlineLevel="0" collapsed="false">
      <c r="A21" s="4" t="s">
        <v>283</v>
      </c>
      <c r="B21" s="30" t="n">
        <f aca="false">-B15</f>
        <v>11009</v>
      </c>
      <c r="D21" s="31" t="s">
        <v>284</v>
      </c>
    </row>
    <row r="22" customFormat="false" ht="15" hidden="false" customHeight="true" outlineLevel="0" collapsed="false">
      <c r="A22" s="4" t="s">
        <v>285</v>
      </c>
      <c r="B22" s="30" t="n">
        <f aca="false">IF(B20&lt;0,MIN(0,B20-B21),0)</f>
        <v>-12146</v>
      </c>
      <c r="D22" s="31" t="s">
        <v>286</v>
      </c>
    </row>
    <row r="23" customFormat="false" ht="15" hidden="false" customHeight="true" outlineLevel="0" collapsed="false">
      <c r="A23" s="4" t="s">
        <v>160</v>
      </c>
      <c r="B23" s="30" t="n">
        <f aca="false">-01_Paramètres_2026!$B$70</f>
        <v>-10700</v>
      </c>
    </row>
    <row r="24" customFormat="false" ht="15" hidden="false" customHeight="true" outlineLevel="0" collapsed="false">
      <c r="A24" s="4" t="s">
        <v>287</v>
      </c>
      <c r="B24" s="30" t="n">
        <f aca="false">MAX(B22,B23)</f>
        <v>-10700</v>
      </c>
    </row>
    <row r="25" customFormat="false" ht="15" hidden="false" customHeight="true" outlineLevel="0" collapsed="false">
      <c r="A25" s="4" t="s">
        <v>288</v>
      </c>
      <c r="B25" s="30" t="n">
        <f aca="false">MIN(0,B22-B24)</f>
        <v>-1446</v>
      </c>
      <c r="D25" s="31" t="s">
        <v>289</v>
      </c>
    </row>
    <row r="26" customFormat="false" ht="15" hidden="false" customHeight="true" outlineLevel="0" collapsed="false">
      <c r="A26" s="4" t="s">
        <v>290</v>
      </c>
      <c r="B26" s="30" t="n">
        <f aca="false">MAX(0,B20)</f>
        <v>0</v>
      </c>
    </row>
    <row r="28" customFormat="false" ht="15" hidden="false" customHeight="true" outlineLevel="0" collapsed="false">
      <c r="A28" s="7" t="s">
        <v>291</v>
      </c>
      <c r="B28" s="7"/>
      <c r="C28" s="7"/>
      <c r="D28" s="7"/>
      <c r="E28" s="7"/>
    </row>
    <row r="29" customFormat="false" ht="15" hidden="false" customHeight="true" outlineLevel="0" collapsed="false">
      <c r="A29" s="4" t="s">
        <v>292</v>
      </c>
      <c r="B29" s="33" t="n">
        <f aca="false">02_Inputs_simulation!$B$5</f>
        <v>0.3</v>
      </c>
    </row>
    <row r="30" customFormat="false" ht="15" hidden="false" customHeight="true" outlineLevel="0" collapsed="false">
      <c r="A30" s="4" t="s">
        <v>293</v>
      </c>
      <c r="B30" s="30" t="n">
        <f aca="false">B26*B29</f>
        <v>0</v>
      </c>
    </row>
    <row r="31" customFormat="false" ht="15" hidden="false" customHeight="true" outlineLevel="0" collapsed="false">
      <c r="A31" s="4" t="s">
        <v>294</v>
      </c>
      <c r="B31" s="30" t="n">
        <f aca="false">B24*B29</f>
        <v>-3210</v>
      </c>
      <c r="D31" s="31" t="s">
        <v>295</v>
      </c>
    </row>
    <row r="32" customFormat="false" ht="15" hidden="false" customHeight="true" outlineLevel="0" collapsed="false">
      <c r="A32" s="4" t="s">
        <v>296</v>
      </c>
      <c r="B32" s="30" t="n">
        <f aca="false">B26*01_Paramètres_2026!$B$21</f>
        <v>0</v>
      </c>
    </row>
    <row r="33" customFormat="false" ht="15" hidden="false" customHeight="true" outlineLevel="0" collapsed="false">
      <c r="A33" s="4" t="s">
        <v>297</v>
      </c>
      <c r="B33" s="30" t="n">
        <v>0</v>
      </c>
      <c r="D33" s="31" t="s">
        <v>298</v>
      </c>
    </row>
    <row r="35" customFormat="false" ht="15" hidden="false" customHeight="true" outlineLevel="0" collapsed="false">
      <c r="A35" s="7" t="s">
        <v>299</v>
      </c>
      <c r="B35" s="7"/>
      <c r="C35" s="7"/>
      <c r="D35" s="7"/>
      <c r="E35" s="7"/>
    </row>
    <row r="36" customFormat="false" ht="15" hidden="false" customHeight="true" outlineLevel="0" collapsed="false">
      <c r="A36" s="4" t="s">
        <v>300</v>
      </c>
      <c r="B36" s="34" t="n">
        <f aca="false">B30+B31+B32</f>
        <v>-3210</v>
      </c>
    </row>
    <row r="37" customFormat="false" ht="15" hidden="false" customHeight="true" outlineLevel="0" collapsed="false">
      <c r="A37" s="4" t="s">
        <v>301</v>
      </c>
      <c r="B37" s="35" t="n">
        <f aca="false">IF(B7&gt;0,B36/B7,0)</f>
        <v>-0.253314393939394</v>
      </c>
    </row>
    <row r="39" customFormat="false" ht="15" hidden="false" customHeight="true" outlineLevel="0" collapsed="false">
      <c r="A39" s="7" t="s">
        <v>302</v>
      </c>
      <c r="B39" s="7"/>
      <c r="C39" s="7"/>
      <c r="D39" s="7"/>
      <c r="E39" s="7"/>
    </row>
    <row r="40" customFormat="false" ht="15" hidden="false" customHeight="true" outlineLevel="0" collapsed="false">
      <c r="A40" s="36" t="s">
        <v>303</v>
      </c>
      <c r="B40" s="36"/>
      <c r="C40" s="36"/>
      <c r="D40" s="36"/>
      <c r="E40" s="36"/>
    </row>
    <row r="41" customFormat="false" ht="15" hidden="false" customHeight="true" outlineLevel="0" collapsed="false">
      <c r="A41" s="36" t="s">
        <v>304</v>
      </c>
      <c r="B41" s="36"/>
      <c r="C41" s="36"/>
      <c r="D41" s="36"/>
      <c r="E41" s="36"/>
    </row>
    <row r="42" customFormat="false" ht="15" hidden="false" customHeight="true" outlineLevel="0" collapsed="false">
      <c r="A42" s="36" t="s">
        <v>305</v>
      </c>
      <c r="B42" s="36"/>
      <c r="C42" s="36"/>
      <c r="D42" s="36"/>
      <c r="E42" s="36"/>
    </row>
    <row r="43" customFormat="false" ht="15" hidden="false" customHeight="true" outlineLevel="0" collapsed="false">
      <c r="A43" s="36" t="s">
        <v>306</v>
      </c>
      <c r="B43" s="36"/>
      <c r="C43" s="36"/>
      <c r="D43" s="36"/>
      <c r="E43" s="36"/>
    </row>
    <row r="44" customFormat="false" ht="15" hidden="false" customHeight="true" outlineLevel="0" collapsed="false">
      <c r="A44" s="37" t="s">
        <v>307</v>
      </c>
      <c r="B44" s="37"/>
      <c r="C44" s="37"/>
      <c r="D44" s="37"/>
      <c r="E44" s="37"/>
    </row>
    <row r="45" customFormat="false" ht="15" hidden="false" customHeight="true" outlineLevel="0" collapsed="false">
      <c r="A45" s="37" t="s">
        <v>308</v>
      </c>
      <c r="B45" s="37"/>
      <c r="C45" s="37"/>
      <c r="D45" s="37"/>
      <c r="E45" s="37"/>
    </row>
    <row r="46" customFormat="false" ht="15" hidden="false" customHeight="true" outlineLevel="0" collapsed="false">
      <c r="A46" s="37" t="s">
        <v>309</v>
      </c>
      <c r="B46" s="37"/>
      <c r="C46" s="37"/>
      <c r="D46" s="37"/>
      <c r="E46" s="37"/>
    </row>
    <row r="47" customFormat="false" ht="15" hidden="false" customHeight="true" outlineLevel="0" collapsed="false">
      <c r="A47" s="38" t="s">
        <v>310</v>
      </c>
      <c r="B47" s="38"/>
      <c r="C47" s="38"/>
      <c r="D47" s="38"/>
      <c r="E47" s="38"/>
    </row>
  </sheetData>
  <mergeCells count="16">
    <mergeCell ref="A1:E1"/>
    <mergeCell ref="A2:E2"/>
    <mergeCell ref="A4:E4"/>
    <mergeCell ref="A9:E9"/>
    <mergeCell ref="A19:E19"/>
    <mergeCell ref="A28:E28"/>
    <mergeCell ref="A35:E35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55"/>
    <col collapsed="false" customWidth="true" hidden="false" outlineLevel="0" max="5" min="5" style="1" width="4"/>
  </cols>
  <sheetData>
    <row r="1" customFormat="false" ht="24.75" hidden="false" customHeight="true" outlineLevel="0" collapsed="false">
      <c r="A1" s="2" t="s">
        <v>311</v>
      </c>
      <c r="B1" s="2"/>
      <c r="C1" s="2"/>
      <c r="D1" s="2"/>
      <c r="E1" s="2"/>
    </row>
    <row r="2" customFormat="false" ht="15" hidden="false" customHeight="true" outlineLevel="0" collapsed="false">
      <c r="A2" s="3" t="s">
        <v>312</v>
      </c>
      <c r="B2" s="3"/>
      <c r="C2" s="3"/>
      <c r="D2" s="3"/>
      <c r="E2" s="3"/>
    </row>
    <row r="4" customFormat="false" ht="15" hidden="false" customHeight="true" outlineLevel="0" collapsed="false">
      <c r="A4" s="7" t="s">
        <v>269</v>
      </c>
      <c r="B4" s="7"/>
      <c r="C4" s="7"/>
      <c r="D4" s="7"/>
      <c r="E4" s="7"/>
    </row>
    <row r="5" customFormat="false" ht="15" hidden="false" customHeight="true" outlineLevel="0" collapsed="false">
      <c r="A5" s="4" t="s">
        <v>313</v>
      </c>
      <c r="B5" s="30" t="n">
        <f aca="false">02_Inputs_simulation!$B$25</f>
        <v>13200</v>
      </c>
      <c r="D5" s="31" t="s">
        <v>314</v>
      </c>
    </row>
    <row r="6" customFormat="false" ht="15" hidden="false" customHeight="true" outlineLevel="0" collapsed="false">
      <c r="A6" s="4" t="s">
        <v>270</v>
      </c>
      <c r="B6" s="30" t="n">
        <f aca="false">-02_Inputs_simulation!$B$25*02_Inputs_simulation!$B$26</f>
        <v>-528</v>
      </c>
    </row>
    <row r="7" customFormat="false" ht="15" hidden="false" customHeight="true" outlineLevel="0" collapsed="false">
      <c r="A7" s="4" t="s">
        <v>233</v>
      </c>
      <c r="B7" s="30" t="n">
        <f aca="false">B5+B6</f>
        <v>12672</v>
      </c>
    </row>
    <row r="8" customFormat="false" ht="15" hidden="false" customHeight="true" outlineLevel="0" collapsed="false">
      <c r="A8" s="4" t="s">
        <v>315</v>
      </c>
      <c r="B8" s="32" t="str">
        <f aca="false">IF(B7&lt;=01_Paramètres_2026!$B$31,"✓ Éligible micro-BIC","✗ HORS PLAFOND")</f>
        <v>✓ Éligible micro-BIC</v>
      </c>
    </row>
    <row r="9" customFormat="false" ht="15" hidden="false" customHeight="true" outlineLevel="0" collapsed="false">
      <c r="A9" s="4" t="s">
        <v>316</v>
      </c>
      <c r="B9" s="32" t="str">
        <f aca="false">IF(B7&lt;01_Paramètres_2026!$B$34,"✓ Reste LMNP","⚠ Vérifier basculement LMP")</f>
        <v>✓ Reste LMNP</v>
      </c>
      <c r="D9" s="31" t="s">
        <v>317</v>
      </c>
    </row>
    <row r="11" customFormat="false" ht="15" hidden="false" customHeight="true" outlineLevel="0" collapsed="false">
      <c r="A11" s="7" t="s">
        <v>318</v>
      </c>
      <c r="B11" s="7"/>
      <c r="C11" s="7"/>
      <c r="D11" s="7"/>
      <c r="E11" s="7"/>
    </row>
    <row r="12" customFormat="false" ht="15" hidden="false" customHeight="true" outlineLevel="0" collapsed="false">
      <c r="A12" s="4" t="s">
        <v>319</v>
      </c>
      <c r="B12" s="30" t="n">
        <f aca="false">-B7*01_Paramètres_2026!$C$31</f>
        <v>-6336</v>
      </c>
      <c r="D12" s="31" t="s">
        <v>320</v>
      </c>
    </row>
    <row r="13" customFormat="false" ht="15" hidden="false" customHeight="true" outlineLevel="0" collapsed="false">
      <c r="A13" s="4" t="s">
        <v>321</v>
      </c>
      <c r="B13" s="30" t="n">
        <f aca="false">B7+B12</f>
        <v>6336</v>
      </c>
    </row>
    <row r="15" customFormat="false" ht="15" hidden="false" customHeight="true" outlineLevel="0" collapsed="false">
      <c r="A15" s="7" t="s">
        <v>322</v>
      </c>
      <c r="B15" s="7"/>
      <c r="C15" s="7"/>
      <c r="D15" s="7"/>
      <c r="E15" s="7"/>
    </row>
    <row r="16" customFormat="false" ht="15" hidden="false" customHeight="true" outlineLevel="0" collapsed="false">
      <c r="A16" s="4" t="s">
        <v>292</v>
      </c>
      <c r="B16" s="33" t="n">
        <f aca="false">02_Inputs_simulation!$B$5</f>
        <v>0.3</v>
      </c>
    </row>
    <row r="17" customFormat="false" ht="15" hidden="false" customHeight="true" outlineLevel="0" collapsed="false">
      <c r="A17" s="4" t="s">
        <v>323</v>
      </c>
      <c r="B17" s="30" t="n">
        <f aca="false">B13*B16</f>
        <v>1900.8</v>
      </c>
    </row>
    <row r="19" customFormat="false" ht="15" hidden="false" customHeight="true" outlineLevel="0" collapsed="false">
      <c r="A19" s="7" t="s">
        <v>324</v>
      </c>
      <c r="B19" s="7"/>
      <c r="C19" s="7"/>
      <c r="D19" s="7"/>
      <c r="E19" s="7"/>
    </row>
    <row r="20" customFormat="false" ht="15" hidden="false" customHeight="true" outlineLevel="0" collapsed="false">
      <c r="A20" s="4" t="s">
        <v>325</v>
      </c>
      <c r="B20" s="33" t="n">
        <f aca="false">01_Paramètres_2026!$B$22</f>
        <v>0.186</v>
      </c>
      <c r="D20" s="31" t="s">
        <v>326</v>
      </c>
    </row>
    <row r="21" customFormat="false" ht="15" hidden="false" customHeight="true" outlineLevel="0" collapsed="false">
      <c r="A21" s="4" t="s">
        <v>247</v>
      </c>
      <c r="B21" s="30" t="n">
        <f aca="false">B13*B20</f>
        <v>1178.496</v>
      </c>
    </row>
    <row r="23" customFormat="false" ht="15" hidden="false" customHeight="true" outlineLevel="0" collapsed="false">
      <c r="A23" s="7" t="s">
        <v>327</v>
      </c>
      <c r="B23" s="7"/>
      <c r="C23" s="7"/>
      <c r="D23" s="7"/>
      <c r="E23" s="7"/>
    </row>
    <row r="24" customFormat="false" ht="15" hidden="false" customHeight="true" outlineLevel="0" collapsed="false">
      <c r="A24" s="4" t="s">
        <v>249</v>
      </c>
      <c r="B24" s="34" t="n">
        <f aca="false">B17+B21</f>
        <v>3079.296</v>
      </c>
    </row>
    <row r="25" customFormat="false" ht="15" hidden="false" customHeight="true" outlineLevel="0" collapsed="false">
      <c r="A25" s="4" t="s">
        <v>250</v>
      </c>
      <c r="B25" s="35" t="n">
        <f aca="false">B24/B7</f>
        <v>0.243</v>
      </c>
    </row>
    <row r="27" customFormat="false" ht="15" hidden="false" customHeight="true" outlineLevel="0" collapsed="false">
      <c r="A27" s="7" t="s">
        <v>328</v>
      </c>
      <c r="B27" s="7"/>
      <c r="C27" s="7"/>
      <c r="D27" s="7"/>
      <c r="E27" s="7"/>
    </row>
    <row r="28" customFormat="false" ht="15" hidden="false" customHeight="true" outlineLevel="0" collapsed="false">
      <c r="A28" s="4" t="s">
        <v>329</v>
      </c>
      <c r="B28" s="39" t="n">
        <v>0.3</v>
      </c>
      <c r="D28" s="31" t="s">
        <v>112</v>
      </c>
    </row>
    <row r="29" customFormat="false" ht="15" hidden="false" customHeight="true" outlineLevel="0" collapsed="false">
      <c r="A29" s="4" t="s">
        <v>330</v>
      </c>
      <c r="B29" s="40" t="n">
        <v>15000</v>
      </c>
    </row>
    <row r="30" customFormat="false" ht="15" hidden="false" customHeight="true" outlineLevel="0" collapsed="false">
      <c r="A30" s="4" t="s">
        <v>331</v>
      </c>
      <c r="B30" s="30" t="n">
        <f aca="false">B7*(1-B28)</f>
        <v>8870.4</v>
      </c>
    </row>
    <row r="31" customFormat="false" ht="15" hidden="false" customHeight="true" outlineLevel="0" collapsed="false">
      <c r="A31" s="4" t="s">
        <v>332</v>
      </c>
      <c r="B31" s="30" t="n">
        <f aca="false">B30*(B16+01_Paramètres_2026!$B$22)</f>
        <v>4311.0144</v>
      </c>
    </row>
    <row r="33" customFormat="false" ht="15" hidden="false" customHeight="true" outlineLevel="0" collapsed="false">
      <c r="A33" s="7" t="s">
        <v>333</v>
      </c>
      <c r="B33" s="7"/>
      <c r="C33" s="7"/>
      <c r="D33" s="7"/>
      <c r="E33" s="7"/>
    </row>
    <row r="34" customFormat="false" ht="15" hidden="false" customHeight="true" outlineLevel="0" collapsed="false">
      <c r="A34" s="36" t="s">
        <v>334</v>
      </c>
      <c r="B34" s="36"/>
      <c r="C34" s="36"/>
      <c r="D34" s="36"/>
      <c r="E34" s="36"/>
    </row>
    <row r="35" customFormat="false" ht="15" hidden="false" customHeight="true" outlineLevel="0" collapsed="false">
      <c r="A35" s="36" t="s">
        <v>335</v>
      </c>
      <c r="B35" s="36"/>
      <c r="C35" s="36"/>
      <c r="D35" s="36"/>
      <c r="E35" s="36"/>
    </row>
    <row r="36" customFormat="false" ht="15" hidden="false" customHeight="true" outlineLevel="0" collapsed="false">
      <c r="A36" s="36" t="s">
        <v>336</v>
      </c>
      <c r="B36" s="36"/>
      <c r="C36" s="36"/>
      <c r="D36" s="36"/>
      <c r="E36" s="36"/>
    </row>
    <row r="37" customFormat="false" ht="15" hidden="false" customHeight="true" outlineLevel="0" collapsed="false">
      <c r="A37" s="37" t="s">
        <v>337</v>
      </c>
      <c r="B37" s="37"/>
      <c r="C37" s="37"/>
      <c r="D37" s="37"/>
      <c r="E37" s="37"/>
    </row>
    <row r="38" customFormat="false" ht="15" hidden="false" customHeight="true" outlineLevel="0" collapsed="false">
      <c r="A38" s="37" t="s">
        <v>338</v>
      </c>
      <c r="B38" s="37"/>
      <c r="C38" s="37"/>
      <c r="D38" s="37"/>
      <c r="E38" s="37"/>
    </row>
    <row r="39" customFormat="false" ht="15" hidden="false" customHeight="true" outlineLevel="0" collapsed="false">
      <c r="A39" s="37" t="s">
        <v>339</v>
      </c>
      <c r="B39" s="37"/>
      <c r="C39" s="37"/>
      <c r="D39" s="37"/>
      <c r="E39" s="37"/>
    </row>
    <row r="40" customFormat="false" ht="15" hidden="false" customHeight="true" outlineLevel="0" collapsed="false">
      <c r="A40" s="38" t="s">
        <v>340</v>
      </c>
      <c r="B40" s="38"/>
      <c r="C40" s="38"/>
      <c r="D40" s="38"/>
      <c r="E40" s="38"/>
    </row>
  </sheetData>
  <mergeCells count="16">
    <mergeCell ref="A1:E1"/>
    <mergeCell ref="A2:E2"/>
    <mergeCell ref="A4:E4"/>
    <mergeCell ref="A11:E11"/>
    <mergeCell ref="A15:E15"/>
    <mergeCell ref="A19:E19"/>
    <mergeCell ref="A23:E23"/>
    <mergeCell ref="A27:E27"/>
    <mergeCell ref="A33:E33"/>
    <mergeCell ref="A34:E34"/>
    <mergeCell ref="A35:E35"/>
    <mergeCell ref="A36:E36"/>
    <mergeCell ref="A37:E37"/>
    <mergeCell ref="A38:E38"/>
    <mergeCell ref="A39:E39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55"/>
    <col collapsed="false" customWidth="true" hidden="false" outlineLevel="0" max="5" min="5" style="1" width="4"/>
  </cols>
  <sheetData>
    <row r="1" customFormat="false" ht="24.75" hidden="false" customHeight="true" outlineLevel="0" collapsed="false">
      <c r="A1" s="2" t="s">
        <v>341</v>
      </c>
      <c r="B1" s="2"/>
      <c r="C1" s="2"/>
      <c r="D1" s="2"/>
      <c r="E1" s="2"/>
    </row>
    <row r="2" customFormat="false" ht="15" hidden="false" customHeight="true" outlineLevel="0" collapsed="false">
      <c r="A2" s="3" t="s">
        <v>342</v>
      </c>
      <c r="B2" s="3"/>
      <c r="C2" s="3"/>
      <c r="D2" s="3"/>
      <c r="E2" s="3"/>
    </row>
    <row r="4" customFormat="false" ht="15" hidden="false" customHeight="true" outlineLevel="0" collapsed="false">
      <c r="A4" s="7" t="s">
        <v>269</v>
      </c>
      <c r="B4" s="7"/>
      <c r="C4" s="7"/>
      <c r="D4" s="7"/>
      <c r="E4" s="7"/>
    </row>
    <row r="5" customFormat="false" ht="15" hidden="false" customHeight="true" outlineLevel="0" collapsed="false">
      <c r="A5" s="4" t="s">
        <v>229</v>
      </c>
      <c r="B5" s="30" t="n">
        <f aca="false">02_Inputs_simulation!$B$25</f>
        <v>13200</v>
      </c>
    </row>
    <row r="6" customFormat="false" ht="15" hidden="false" customHeight="true" outlineLevel="0" collapsed="false">
      <c r="A6" s="4" t="s">
        <v>270</v>
      </c>
      <c r="B6" s="30" t="n">
        <f aca="false">-02_Inputs_simulation!$B$25*02_Inputs_simulation!$B$26</f>
        <v>-528</v>
      </c>
    </row>
    <row r="7" customFormat="false" ht="15" hidden="false" customHeight="true" outlineLevel="0" collapsed="false">
      <c r="A7" s="4" t="s">
        <v>233</v>
      </c>
      <c r="B7" s="30" t="n">
        <f aca="false">B5+B6</f>
        <v>12672</v>
      </c>
    </row>
    <row r="9" customFormat="false" ht="15" hidden="false" customHeight="true" outlineLevel="0" collapsed="false">
      <c r="A9" s="7" t="s">
        <v>343</v>
      </c>
      <c r="B9" s="7"/>
      <c r="C9" s="7"/>
      <c r="D9" s="7"/>
      <c r="E9" s="7"/>
    </row>
    <row r="10" customFormat="false" ht="15" hidden="false" customHeight="true" outlineLevel="0" collapsed="false">
      <c r="A10" s="4" t="s">
        <v>344</v>
      </c>
      <c r="B10" s="30" t="n">
        <f aca="false">-02_Inputs_simulation!$B$27</f>
        <v>-600</v>
      </c>
    </row>
    <row r="11" customFormat="false" ht="15" hidden="false" customHeight="true" outlineLevel="0" collapsed="false">
      <c r="A11" s="4" t="s">
        <v>212</v>
      </c>
      <c r="B11" s="30" t="n">
        <f aca="false">-02_Inputs_simulation!$B$28</f>
        <v>-1400</v>
      </c>
    </row>
    <row r="12" customFormat="false" ht="15" hidden="false" customHeight="true" outlineLevel="0" collapsed="false">
      <c r="A12" s="4" t="s">
        <v>213</v>
      </c>
      <c r="B12" s="30" t="n">
        <f aca="false">-02_Inputs_simulation!$B$29</f>
        <v>-180</v>
      </c>
    </row>
    <row r="13" customFormat="false" ht="15" hidden="false" customHeight="true" outlineLevel="0" collapsed="false">
      <c r="A13" s="4" t="s">
        <v>215</v>
      </c>
      <c r="B13" s="30" t="n">
        <f aca="false">-02_Inputs_simulation!$B$30</f>
        <v>-0</v>
      </c>
    </row>
    <row r="14" customFormat="false" ht="15" hidden="false" customHeight="true" outlineLevel="0" collapsed="false">
      <c r="A14" s="4" t="s">
        <v>345</v>
      </c>
      <c r="B14" s="30" t="n">
        <f aca="false">-02_Inputs_simulation!$B$31</f>
        <v>-600</v>
      </c>
    </row>
    <row r="15" customFormat="false" ht="15" hidden="false" customHeight="true" outlineLevel="0" collapsed="false">
      <c r="A15" s="4" t="s">
        <v>346</v>
      </c>
      <c r="B15" s="30" t="n">
        <f aca="false">-02_Inputs_simulation!$B$32</f>
        <v>-600</v>
      </c>
    </row>
    <row r="16" customFormat="false" ht="15" hidden="false" customHeight="true" outlineLevel="0" collapsed="false">
      <c r="A16" s="4" t="s">
        <v>347</v>
      </c>
      <c r="B16" s="30" t="n">
        <f aca="false">-(02_Inputs_simulation!$B$18*02_Inputs_simulation!$B$19+02_Inputs_simulation!$B$18*02_Inputs_simulation!$B$21)</f>
        <v>-11009</v>
      </c>
    </row>
    <row r="17" customFormat="false" ht="15" hidden="false" customHeight="true" outlineLevel="0" collapsed="false">
      <c r="A17" s="4" t="s">
        <v>348</v>
      </c>
      <c r="B17" s="40" t="n">
        <v>-300</v>
      </c>
      <c r="D17" s="31" t="s">
        <v>349</v>
      </c>
    </row>
    <row r="18" customFormat="false" ht="15" hidden="false" customHeight="true" outlineLevel="0" collapsed="false">
      <c r="A18" s="4" t="s">
        <v>350</v>
      </c>
      <c r="B18" s="30" t="n">
        <f aca="false">SUM(B10:B17)</f>
        <v>-14689</v>
      </c>
    </row>
    <row r="20" customFormat="false" ht="15" hidden="false" customHeight="true" outlineLevel="0" collapsed="false">
      <c r="A20" s="7" t="s">
        <v>351</v>
      </c>
      <c r="B20" s="7"/>
      <c r="C20" s="7"/>
      <c r="D20" s="7"/>
      <c r="E20" s="7"/>
    </row>
    <row r="21" customFormat="false" ht="15" hidden="false" customHeight="true" outlineLevel="0" collapsed="false">
      <c r="A21" s="4" t="s">
        <v>352</v>
      </c>
      <c r="B21" s="30" t="n">
        <f aca="false">02_Inputs_simulation!$B$10+02_Inputs_simulation!$B$11+02_Inputs_simulation!$B$12</f>
        <v>282500</v>
      </c>
      <c r="D21" s="31" t="s">
        <v>353</v>
      </c>
    </row>
    <row r="22" customFormat="false" ht="15" hidden="false" customHeight="true" outlineLevel="0" collapsed="false">
      <c r="A22" s="4" t="s">
        <v>354</v>
      </c>
      <c r="B22" s="30" t="n">
        <f aca="false">-B21*02_Inputs_simulation!$B$14</f>
        <v>-42375</v>
      </c>
    </row>
    <row r="23" customFormat="false" ht="15" hidden="false" customHeight="true" outlineLevel="0" collapsed="false">
      <c r="A23" s="4" t="s">
        <v>355</v>
      </c>
      <c r="B23" s="30" t="n">
        <f aca="false">B21+B22</f>
        <v>240125</v>
      </c>
    </row>
    <row r="24" customFormat="false" ht="15" hidden="false" customHeight="true" outlineLevel="0" collapsed="false">
      <c r="A24" s="4" t="s">
        <v>356</v>
      </c>
      <c r="B24" s="30" t="n">
        <f aca="false">-B23*0.4/80</f>
        <v>-1200.625</v>
      </c>
    </row>
    <row r="25" customFormat="false" ht="15" hidden="false" customHeight="true" outlineLevel="0" collapsed="false">
      <c r="A25" s="4" t="s">
        <v>357</v>
      </c>
      <c r="B25" s="30" t="n">
        <f aca="false">-B23*0.1/30</f>
        <v>-800.416666666667</v>
      </c>
    </row>
    <row r="26" customFormat="false" ht="15" hidden="false" customHeight="true" outlineLevel="0" collapsed="false">
      <c r="A26" s="4" t="s">
        <v>358</v>
      </c>
      <c r="B26" s="30" t="n">
        <f aca="false">-B23*0.2/25</f>
        <v>-1921</v>
      </c>
    </row>
    <row r="27" customFormat="false" ht="15" hidden="false" customHeight="true" outlineLevel="0" collapsed="false">
      <c r="A27" s="4" t="s">
        <v>359</v>
      </c>
      <c r="B27" s="30" t="n">
        <f aca="false">-B23*0.15/15</f>
        <v>-2401.25</v>
      </c>
    </row>
    <row r="28" customFormat="false" ht="15" hidden="false" customHeight="true" outlineLevel="0" collapsed="false">
      <c r="A28" s="4" t="s">
        <v>360</v>
      </c>
      <c r="B28" s="30" t="n">
        <f aca="false">-B23*0.15/40</f>
        <v>-900.46875</v>
      </c>
      <c r="D28" s="31" t="s">
        <v>361</v>
      </c>
    </row>
    <row r="29" customFormat="false" ht="15" hidden="false" customHeight="true" outlineLevel="0" collapsed="false">
      <c r="A29" s="4" t="s">
        <v>362</v>
      </c>
      <c r="B29" s="30" t="n">
        <f aca="false">SUM(B24:B28)</f>
        <v>-7223.76041666667</v>
      </c>
    </row>
    <row r="30" customFormat="false" ht="15" hidden="false" customHeight="true" outlineLevel="0" collapsed="false">
      <c r="A30" s="4" t="s">
        <v>363</v>
      </c>
      <c r="B30" s="30" t="n">
        <f aca="false">-02_Inputs_simulation!$B$13/7</f>
        <v>-1142.85714285714</v>
      </c>
    </row>
    <row r="31" customFormat="false" ht="15" hidden="false" customHeight="true" outlineLevel="0" collapsed="false">
      <c r="A31" s="4" t="s">
        <v>364</v>
      </c>
      <c r="B31" s="30" t="n">
        <f aca="false">B29+B30</f>
        <v>-8366.61755952381</v>
      </c>
    </row>
    <row r="33" customFormat="false" ht="15" hidden="false" customHeight="true" outlineLevel="0" collapsed="false">
      <c r="A33" s="7" t="s">
        <v>365</v>
      </c>
      <c r="B33" s="7"/>
      <c r="C33" s="7"/>
      <c r="D33" s="7"/>
      <c r="E33" s="7"/>
    </row>
    <row r="34" customFormat="false" ht="15" hidden="false" customHeight="true" outlineLevel="0" collapsed="false">
      <c r="A34" s="4" t="s">
        <v>366</v>
      </c>
      <c r="B34" s="30" t="n">
        <f aca="false">B7+B18</f>
        <v>-2017</v>
      </c>
    </row>
    <row r="35" customFormat="false" ht="15" hidden="false" customHeight="true" outlineLevel="0" collapsed="false">
      <c r="A35" s="4" t="s">
        <v>367</v>
      </c>
      <c r="B35" s="30" t="n">
        <f aca="false">B34+B31</f>
        <v>-10383.6175595238</v>
      </c>
      <c r="D35" s="31" t="s">
        <v>368</v>
      </c>
    </row>
    <row r="36" customFormat="false" ht="15" hidden="false" customHeight="true" outlineLevel="0" collapsed="false">
      <c r="A36" s="4" t="s">
        <v>369</v>
      </c>
      <c r="B36" s="30" t="n">
        <f aca="false">IF(B35&lt;0,B34,B35)</f>
        <v>-2017</v>
      </c>
      <c r="D36" s="31" t="s">
        <v>370</v>
      </c>
    </row>
    <row r="37" customFormat="false" ht="15" hidden="false" customHeight="true" outlineLevel="0" collapsed="false">
      <c r="A37" s="4" t="s">
        <v>371</v>
      </c>
      <c r="B37" s="30" t="n">
        <f aca="false">IF(B35&lt;0,-B34,-B31)</f>
        <v>2017</v>
      </c>
      <c r="D37" s="31" t="s">
        <v>372</v>
      </c>
    </row>
    <row r="38" customFormat="false" ht="15" hidden="false" customHeight="true" outlineLevel="0" collapsed="false">
      <c r="A38" s="4" t="s">
        <v>373</v>
      </c>
      <c r="B38" s="30" t="n">
        <f aca="false">IF(B35&lt;0,-B35,0)</f>
        <v>10383.6175595238</v>
      </c>
      <c r="D38" s="31" t="s">
        <v>374</v>
      </c>
    </row>
    <row r="39" customFormat="false" ht="15" hidden="false" customHeight="true" outlineLevel="0" collapsed="false">
      <c r="A39" s="4" t="s">
        <v>321</v>
      </c>
      <c r="B39" s="30" t="n">
        <f aca="false">MAX(0,B36)</f>
        <v>0</v>
      </c>
    </row>
    <row r="41" customFormat="false" ht="15" hidden="false" customHeight="true" outlineLevel="0" collapsed="false">
      <c r="A41" s="7" t="s">
        <v>375</v>
      </c>
      <c r="B41" s="7"/>
      <c r="C41" s="7"/>
      <c r="D41" s="7"/>
      <c r="E41" s="7"/>
    </row>
    <row r="42" customFormat="false" ht="15" hidden="false" customHeight="true" outlineLevel="0" collapsed="false">
      <c r="A42" s="4" t="s">
        <v>292</v>
      </c>
      <c r="B42" s="33" t="n">
        <f aca="false">02_Inputs_simulation!$B$5</f>
        <v>0.3</v>
      </c>
    </row>
    <row r="43" customFormat="false" ht="15" hidden="false" customHeight="true" outlineLevel="0" collapsed="false">
      <c r="A43" s="4" t="s">
        <v>323</v>
      </c>
      <c r="B43" s="30" t="n">
        <f aca="false">B39*B42</f>
        <v>0</v>
      </c>
    </row>
    <row r="44" customFormat="false" ht="15" hidden="false" customHeight="true" outlineLevel="0" collapsed="false">
      <c r="A44" s="4" t="s">
        <v>376</v>
      </c>
      <c r="B44" s="30" t="n">
        <f aca="false">B39*01_Paramètres_2026!$B$22</f>
        <v>0</v>
      </c>
    </row>
    <row r="45" customFormat="false" ht="15" hidden="false" customHeight="true" outlineLevel="0" collapsed="false">
      <c r="A45" s="4" t="s">
        <v>377</v>
      </c>
      <c r="B45" s="34" t="n">
        <f aca="false">B43+B44</f>
        <v>0</v>
      </c>
    </row>
    <row r="46" customFormat="false" ht="15" hidden="false" customHeight="true" outlineLevel="0" collapsed="false">
      <c r="A46" s="4" t="s">
        <v>378</v>
      </c>
      <c r="B46" s="35" t="n">
        <f aca="false">IF(B7&gt;0,B45/B7,0)</f>
        <v>0</v>
      </c>
    </row>
    <row r="48" customFormat="false" ht="15" hidden="false" customHeight="true" outlineLevel="0" collapsed="false">
      <c r="A48" s="7" t="s">
        <v>379</v>
      </c>
      <c r="B48" s="7"/>
      <c r="C48" s="7"/>
      <c r="D48" s="7"/>
      <c r="E48" s="7"/>
    </row>
    <row r="49" customFormat="false" ht="15" hidden="false" customHeight="true" outlineLevel="0" collapsed="false">
      <c r="A49" s="41" t="s">
        <v>380</v>
      </c>
      <c r="B49" s="41"/>
      <c r="C49" s="41"/>
      <c r="D49" s="41"/>
      <c r="E49" s="41"/>
    </row>
    <row r="50" customFormat="false" ht="15" hidden="false" customHeight="true" outlineLevel="0" collapsed="false">
      <c r="A50" s="42" t="s">
        <v>381</v>
      </c>
      <c r="B50" s="42"/>
      <c r="C50" s="42"/>
      <c r="D50" s="42"/>
      <c r="E50" s="42"/>
    </row>
    <row r="51" customFormat="false" ht="15" hidden="false" customHeight="true" outlineLevel="0" collapsed="false">
      <c r="A51" s="42" t="s">
        <v>382</v>
      </c>
      <c r="B51" s="42"/>
      <c r="C51" s="42"/>
      <c r="D51" s="42"/>
      <c r="E51" s="42"/>
    </row>
    <row r="52" customFormat="false" ht="15" hidden="false" customHeight="true" outlineLevel="0" collapsed="false">
      <c r="A52" s="42" t="s">
        <v>383</v>
      </c>
      <c r="B52" s="42"/>
      <c r="C52" s="42"/>
      <c r="D52" s="42"/>
      <c r="E52" s="42"/>
    </row>
    <row r="53" customFormat="false" ht="15" hidden="false" customHeight="true" outlineLevel="0" collapsed="false">
      <c r="A53" s="41" t="s">
        <v>384</v>
      </c>
      <c r="B53" s="41"/>
      <c r="C53" s="41"/>
      <c r="D53" s="41"/>
      <c r="E53" s="41"/>
    </row>
    <row r="54" customFormat="false" ht="15" hidden="false" customHeight="true" outlineLevel="0" collapsed="false">
      <c r="A54" s="42" t="s">
        <v>385</v>
      </c>
      <c r="B54" s="42"/>
      <c r="C54" s="42"/>
      <c r="D54" s="42"/>
      <c r="E54" s="42"/>
    </row>
    <row r="56" customFormat="false" ht="15" hidden="false" customHeight="true" outlineLevel="0" collapsed="false">
      <c r="A56" s="7" t="s">
        <v>333</v>
      </c>
      <c r="B56" s="7"/>
      <c r="C56" s="7"/>
      <c r="D56" s="7"/>
      <c r="E56" s="7"/>
    </row>
    <row r="57" customFormat="false" ht="15" hidden="false" customHeight="true" outlineLevel="0" collapsed="false">
      <c r="A57" s="36" t="s">
        <v>386</v>
      </c>
      <c r="B57" s="36"/>
      <c r="C57" s="36"/>
      <c r="D57" s="36"/>
      <c r="E57" s="36"/>
    </row>
    <row r="58" customFormat="false" ht="15" hidden="false" customHeight="true" outlineLevel="0" collapsed="false">
      <c r="A58" s="36" t="s">
        <v>387</v>
      </c>
      <c r="B58" s="36"/>
      <c r="C58" s="36"/>
      <c r="D58" s="36"/>
      <c r="E58" s="36"/>
    </row>
    <row r="59" customFormat="false" ht="15" hidden="false" customHeight="true" outlineLevel="0" collapsed="false">
      <c r="A59" s="36" t="s">
        <v>388</v>
      </c>
      <c r="B59" s="36"/>
      <c r="C59" s="36"/>
      <c r="D59" s="36"/>
      <c r="E59" s="36"/>
    </row>
    <row r="60" customFormat="false" ht="15" hidden="false" customHeight="true" outlineLevel="0" collapsed="false">
      <c r="A60" s="36" t="s">
        <v>389</v>
      </c>
      <c r="B60" s="36"/>
      <c r="C60" s="36"/>
      <c r="D60" s="36"/>
      <c r="E60" s="36"/>
    </row>
    <row r="61" customFormat="false" ht="15" hidden="false" customHeight="true" outlineLevel="0" collapsed="false">
      <c r="A61" s="37" t="s">
        <v>390</v>
      </c>
      <c r="B61" s="37"/>
      <c r="C61" s="37"/>
      <c r="D61" s="37"/>
      <c r="E61" s="37"/>
    </row>
    <row r="62" customFormat="false" ht="15" hidden="false" customHeight="true" outlineLevel="0" collapsed="false">
      <c r="A62" s="37" t="s">
        <v>391</v>
      </c>
      <c r="B62" s="37"/>
      <c r="C62" s="37"/>
      <c r="D62" s="37"/>
      <c r="E62" s="37"/>
    </row>
    <row r="63" customFormat="false" ht="15" hidden="false" customHeight="true" outlineLevel="0" collapsed="false">
      <c r="A63" s="37" t="s">
        <v>392</v>
      </c>
      <c r="B63" s="37"/>
      <c r="C63" s="37"/>
      <c r="D63" s="37"/>
      <c r="E63" s="37"/>
    </row>
    <row r="64" customFormat="false" ht="15" hidden="false" customHeight="true" outlineLevel="0" collapsed="false">
      <c r="A64" s="37" t="s">
        <v>393</v>
      </c>
      <c r="B64" s="37"/>
      <c r="C64" s="37"/>
      <c r="D64" s="37"/>
      <c r="E64" s="37"/>
    </row>
    <row r="65" customFormat="false" ht="15" hidden="false" customHeight="true" outlineLevel="0" collapsed="false">
      <c r="A65" s="38" t="s">
        <v>394</v>
      </c>
      <c r="B65" s="38"/>
      <c r="C65" s="38"/>
      <c r="D65" s="38"/>
      <c r="E65" s="38"/>
    </row>
  </sheetData>
  <mergeCells count="24">
    <mergeCell ref="A1:E1"/>
    <mergeCell ref="A2:E2"/>
    <mergeCell ref="A4:E4"/>
    <mergeCell ref="A9:E9"/>
    <mergeCell ref="A20:E20"/>
    <mergeCell ref="A33:E33"/>
    <mergeCell ref="A41:E41"/>
    <mergeCell ref="A48:E48"/>
    <mergeCell ref="A49:E49"/>
    <mergeCell ref="A50:E50"/>
    <mergeCell ref="A51:E51"/>
    <mergeCell ref="A52:E52"/>
    <mergeCell ref="A53:E53"/>
    <mergeCell ref="A54:E54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55"/>
    <col collapsed="false" customWidth="true" hidden="false" outlineLevel="0" max="5" min="5" style="1" width="4"/>
  </cols>
  <sheetData>
    <row r="1" customFormat="false" ht="24.75" hidden="false" customHeight="true" outlineLevel="0" collapsed="false">
      <c r="A1" s="2" t="s">
        <v>395</v>
      </c>
      <c r="B1" s="2"/>
      <c r="C1" s="2"/>
      <c r="D1" s="2"/>
      <c r="E1" s="2"/>
    </row>
    <row r="2" customFormat="false" ht="15" hidden="false" customHeight="true" outlineLevel="0" collapsed="false">
      <c r="A2" s="3" t="s">
        <v>396</v>
      </c>
      <c r="B2" s="3"/>
      <c r="C2" s="3"/>
      <c r="D2" s="3"/>
      <c r="E2" s="3"/>
    </row>
    <row r="4" customFormat="false" ht="15" hidden="false" customHeight="true" outlineLevel="0" collapsed="false">
      <c r="A4" s="7" t="s">
        <v>397</v>
      </c>
      <c r="B4" s="7"/>
      <c r="C4" s="7"/>
      <c r="D4" s="7"/>
      <c r="E4" s="7"/>
    </row>
    <row r="5" customFormat="false" ht="15" hidden="false" customHeight="true" outlineLevel="0" collapsed="false">
      <c r="A5" s="4" t="s">
        <v>398</v>
      </c>
      <c r="B5" s="30" t="n">
        <f aca="false">02_Inputs_simulation!$B$25</f>
        <v>13200</v>
      </c>
    </row>
    <row r="6" customFormat="false" ht="15" hidden="false" customHeight="true" outlineLevel="0" collapsed="false">
      <c r="A6" s="4" t="s">
        <v>399</v>
      </c>
      <c r="B6" s="30" t="s">
        <v>400</v>
      </c>
      <c r="D6" s="31" t="s">
        <v>401</v>
      </c>
    </row>
    <row r="7" customFormat="false" ht="15" hidden="false" customHeight="true" outlineLevel="0" collapsed="false">
      <c r="A7" s="4" t="s">
        <v>402</v>
      </c>
      <c r="B7" s="32" t="str">
        <f aca="false">IF(B5&gt;01_Paramètres_2026!$B$34,"OUI","NON")</f>
        <v>NON</v>
      </c>
    </row>
    <row r="8" customFormat="false" ht="15" hidden="false" customHeight="true" outlineLevel="0" collapsed="false">
      <c r="A8" s="4" t="s">
        <v>403</v>
      </c>
      <c r="B8" s="32" t="str">
        <f aca="false">IF(B5&gt;B6,"OUI","NON")</f>
        <v>NON</v>
      </c>
    </row>
    <row r="9" customFormat="false" ht="15" hidden="false" customHeight="true" outlineLevel="0" collapsed="false">
      <c r="A9" s="4" t="s">
        <v>404</v>
      </c>
      <c r="B9" s="43" t="str">
        <f aca="false">IF(AND(B7="OUI",B8="OUI"),"LMP","LMNP")</f>
        <v>LMNP</v>
      </c>
    </row>
    <row r="11" customFormat="false" ht="15" hidden="false" customHeight="true" outlineLevel="0" collapsed="false">
      <c r="A11" s="7" t="s">
        <v>405</v>
      </c>
      <c r="B11" s="7"/>
      <c r="C11" s="7"/>
      <c r="D11" s="7"/>
      <c r="E11" s="7"/>
    </row>
    <row r="12" customFormat="false" ht="15" hidden="false" customHeight="true" outlineLevel="0" collapsed="false">
      <c r="A12" s="4" t="s">
        <v>233</v>
      </c>
      <c r="B12" s="30" t="n">
        <f aca="false">02_Inputs_simulation!$B$25*(1-02_Inputs_simulation!$B$26)</f>
        <v>12672</v>
      </c>
    </row>
    <row r="13" customFormat="false" ht="15" hidden="false" customHeight="true" outlineLevel="0" collapsed="false">
      <c r="A13" s="4" t="s">
        <v>406</v>
      </c>
      <c r="B13" s="30" t="n">
        <f aca="false">06_Réel_BIC_LMNP!B18</f>
        <v>-14689</v>
      </c>
    </row>
    <row r="14" customFormat="false" ht="15" hidden="false" customHeight="true" outlineLevel="0" collapsed="false">
      <c r="A14" s="4" t="s">
        <v>407</v>
      </c>
      <c r="B14" s="30" t="n">
        <f aca="false">06_Réel_BIC_LMNP!B31</f>
        <v>-8366.61755952381</v>
      </c>
    </row>
    <row r="15" customFormat="false" ht="15" hidden="false" customHeight="true" outlineLevel="0" collapsed="false">
      <c r="A15" s="4" t="s">
        <v>408</v>
      </c>
      <c r="B15" s="30" t="n">
        <f aca="false">B12+B13</f>
        <v>-2017</v>
      </c>
    </row>
    <row r="16" customFormat="false" ht="15" hidden="false" customHeight="true" outlineLevel="0" collapsed="false">
      <c r="A16" s="4" t="s">
        <v>409</v>
      </c>
      <c r="B16" s="30" t="n">
        <f aca="false">B15+B14</f>
        <v>-10383.6175595238</v>
      </c>
    </row>
    <row r="17" customFormat="false" ht="15" hidden="false" customHeight="true" outlineLevel="0" collapsed="false">
      <c r="A17" s="4" t="s">
        <v>410</v>
      </c>
      <c r="B17" s="30" t="n">
        <f aca="false">MAX(0,IF(B16&lt;0,B15,B16))</f>
        <v>0</v>
      </c>
      <c r="D17" s="31" t="s">
        <v>411</v>
      </c>
    </row>
    <row r="19" customFormat="false" ht="15" hidden="false" customHeight="true" outlineLevel="0" collapsed="false">
      <c r="A19" s="7" t="s">
        <v>412</v>
      </c>
      <c r="B19" s="7"/>
      <c r="C19" s="7"/>
      <c r="D19" s="7"/>
      <c r="E19" s="7"/>
    </row>
    <row r="20" customFormat="false" ht="15" hidden="false" customHeight="true" outlineLevel="0" collapsed="false">
      <c r="A20" s="4" t="s">
        <v>292</v>
      </c>
      <c r="B20" s="33" t="n">
        <f aca="false">02_Inputs_simulation!$B$5</f>
        <v>0.3</v>
      </c>
    </row>
    <row r="21" customFormat="false" ht="15" hidden="false" customHeight="true" outlineLevel="0" collapsed="false">
      <c r="A21" s="4" t="s">
        <v>413</v>
      </c>
      <c r="B21" s="30" t="n">
        <f aca="false">B17*B20</f>
        <v>0</v>
      </c>
    </row>
    <row r="22" customFormat="false" ht="15" hidden="false" customHeight="true" outlineLevel="0" collapsed="false">
      <c r="A22" s="4" t="s">
        <v>414</v>
      </c>
      <c r="B22" s="30" t="n">
        <f aca="false">-B17*0.3</f>
        <v>-0</v>
      </c>
      <c r="D22" s="31" t="s">
        <v>415</v>
      </c>
    </row>
    <row r="23" customFormat="false" ht="15" hidden="false" customHeight="true" outlineLevel="0" collapsed="false">
      <c r="A23" s="4" t="s">
        <v>416</v>
      </c>
      <c r="B23" s="30" t="n">
        <v>0</v>
      </c>
    </row>
    <row r="24" customFormat="false" ht="15" hidden="false" customHeight="true" outlineLevel="0" collapsed="false">
      <c r="A24" s="4" t="s">
        <v>417</v>
      </c>
      <c r="B24" s="34" t="n">
        <f aca="false">B21-B22</f>
        <v>0</v>
      </c>
    </row>
    <row r="26" customFormat="false" ht="15" hidden="false" customHeight="true" outlineLevel="0" collapsed="false">
      <c r="A26" s="7" t="s">
        <v>418</v>
      </c>
      <c r="B26" s="7"/>
      <c r="C26" s="7"/>
      <c r="D26" s="7"/>
      <c r="E26" s="7"/>
    </row>
    <row r="27" customFormat="false" ht="15" hidden="false" customHeight="true" outlineLevel="0" collapsed="false">
      <c r="A27" s="36" t="s">
        <v>419</v>
      </c>
      <c r="B27" s="36"/>
      <c r="C27" s="36"/>
      <c r="D27" s="36"/>
      <c r="E27" s="36"/>
    </row>
    <row r="28" customFormat="false" ht="15" hidden="false" customHeight="true" outlineLevel="0" collapsed="false">
      <c r="A28" s="36" t="s">
        <v>420</v>
      </c>
      <c r="B28" s="36"/>
      <c r="C28" s="36"/>
      <c r="D28" s="36"/>
      <c r="E28" s="36"/>
    </row>
    <row r="29" customFormat="false" ht="15" hidden="false" customHeight="true" outlineLevel="0" collapsed="false">
      <c r="A29" s="36" t="s">
        <v>421</v>
      </c>
      <c r="B29" s="36"/>
      <c r="C29" s="36"/>
      <c r="D29" s="36"/>
      <c r="E29" s="36"/>
    </row>
    <row r="30" customFormat="false" ht="15" hidden="false" customHeight="true" outlineLevel="0" collapsed="false">
      <c r="A30" s="36" t="s">
        <v>422</v>
      </c>
      <c r="B30" s="36"/>
      <c r="C30" s="36"/>
      <c r="D30" s="36"/>
      <c r="E30" s="36"/>
    </row>
    <row r="31" customFormat="false" ht="15" hidden="false" customHeight="true" outlineLevel="0" collapsed="false">
      <c r="A31" s="37" t="s">
        <v>423</v>
      </c>
      <c r="B31" s="37"/>
      <c r="C31" s="37"/>
      <c r="D31" s="37"/>
      <c r="E31" s="37"/>
    </row>
    <row r="32" customFormat="false" ht="15" hidden="false" customHeight="true" outlineLevel="0" collapsed="false">
      <c r="A32" s="37" t="s">
        <v>424</v>
      </c>
      <c r="B32" s="37"/>
      <c r="C32" s="37"/>
      <c r="D32" s="37"/>
      <c r="E32" s="37"/>
    </row>
    <row r="33" customFormat="false" ht="15" hidden="false" customHeight="true" outlineLevel="0" collapsed="false">
      <c r="A33" s="37" t="s">
        <v>425</v>
      </c>
      <c r="B33" s="37"/>
      <c r="C33" s="37"/>
      <c r="D33" s="37"/>
      <c r="E33" s="37"/>
    </row>
    <row r="34" customFormat="false" ht="15" hidden="false" customHeight="true" outlineLevel="0" collapsed="false">
      <c r="A34" s="41" t="s">
        <v>426</v>
      </c>
      <c r="B34" s="41"/>
      <c r="C34" s="41"/>
      <c r="D34" s="41"/>
      <c r="E34" s="41"/>
    </row>
    <row r="35" customFormat="false" ht="15" hidden="false" customHeight="true" outlineLevel="0" collapsed="false">
      <c r="A35" s="38" t="s">
        <v>427</v>
      </c>
      <c r="B35" s="38"/>
      <c r="C35" s="38"/>
      <c r="D35" s="38"/>
      <c r="E35" s="38"/>
    </row>
  </sheetData>
  <mergeCells count="15">
    <mergeCell ref="A1:E1"/>
    <mergeCell ref="A2:E2"/>
    <mergeCell ref="A4:E4"/>
    <mergeCell ref="A11:E11"/>
    <mergeCell ref="A19:E19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55"/>
    <col collapsed="false" customWidth="true" hidden="false" outlineLevel="0" max="5" min="5" style="1" width="4"/>
  </cols>
  <sheetData>
    <row r="1" customFormat="false" ht="24.75" hidden="false" customHeight="true" outlineLevel="0" collapsed="false">
      <c r="A1" s="2" t="s">
        <v>428</v>
      </c>
      <c r="B1" s="2"/>
      <c r="C1" s="2"/>
      <c r="D1" s="2"/>
      <c r="E1" s="2"/>
    </row>
    <row r="2" customFormat="false" ht="15" hidden="false" customHeight="true" outlineLevel="0" collapsed="false">
      <c r="A2" s="3" t="s">
        <v>429</v>
      </c>
      <c r="B2" s="3"/>
      <c r="C2" s="3"/>
      <c r="D2" s="3"/>
      <c r="E2" s="3"/>
    </row>
    <row r="4" customFormat="false" ht="15" hidden="false" customHeight="true" outlineLevel="0" collapsed="false">
      <c r="A4" s="7" t="s">
        <v>430</v>
      </c>
      <c r="B4" s="7"/>
      <c r="C4" s="7"/>
      <c r="D4" s="7"/>
      <c r="E4" s="7"/>
    </row>
    <row r="5" customFormat="false" ht="15" hidden="false" customHeight="true" outlineLevel="0" collapsed="false">
      <c r="A5" s="42" t="s">
        <v>431</v>
      </c>
      <c r="B5" s="42"/>
      <c r="C5" s="42"/>
      <c r="D5" s="42"/>
      <c r="E5" s="42"/>
    </row>
    <row r="6" customFormat="false" ht="15" hidden="false" customHeight="true" outlineLevel="0" collapsed="false">
      <c r="A6" s="42" t="s">
        <v>432</v>
      </c>
      <c r="B6" s="42"/>
      <c r="C6" s="42"/>
      <c r="D6" s="42"/>
      <c r="E6" s="42"/>
    </row>
    <row r="7" customFormat="false" ht="15" hidden="false" customHeight="true" outlineLevel="0" collapsed="false">
      <c r="A7" s="42" t="s">
        <v>433</v>
      </c>
      <c r="B7" s="42"/>
      <c r="C7" s="42"/>
      <c r="D7" s="42"/>
      <c r="E7" s="42"/>
    </row>
    <row r="8" customFormat="false" ht="15" hidden="false" customHeight="true" outlineLevel="0" collapsed="false">
      <c r="A8" s="42" t="s">
        <v>434</v>
      </c>
      <c r="B8" s="42"/>
      <c r="C8" s="42"/>
      <c r="D8" s="42"/>
      <c r="E8" s="42"/>
    </row>
    <row r="9" customFormat="false" ht="15" hidden="false" customHeight="true" outlineLevel="0" collapsed="false">
      <c r="A9" s="42" t="s">
        <v>435</v>
      </c>
      <c r="B9" s="42"/>
      <c r="C9" s="42"/>
      <c r="D9" s="42"/>
      <c r="E9" s="42"/>
    </row>
    <row r="11" customFormat="false" ht="15" hidden="false" customHeight="true" outlineLevel="0" collapsed="false">
      <c r="A11" s="7" t="s">
        <v>436</v>
      </c>
      <c r="B11" s="7"/>
      <c r="C11" s="7"/>
      <c r="D11" s="7"/>
      <c r="E11" s="7"/>
    </row>
    <row r="12" customFormat="false" ht="15" hidden="false" customHeight="true" outlineLevel="0" collapsed="false">
      <c r="A12" s="4" t="s">
        <v>437</v>
      </c>
      <c r="B12" s="30" t="n">
        <f aca="false">02_Inputs_simulation!$B$25</f>
        <v>13200</v>
      </c>
    </row>
    <row r="13" customFormat="false" ht="15" hidden="false" customHeight="true" outlineLevel="0" collapsed="false">
      <c r="A13" s="4" t="s">
        <v>270</v>
      </c>
      <c r="B13" s="30" t="n">
        <f aca="false">-02_Inputs_simulation!$B$25*02_Inputs_simulation!$B$26</f>
        <v>-528</v>
      </c>
    </row>
    <row r="14" customFormat="false" ht="15" hidden="false" customHeight="true" outlineLevel="0" collapsed="false">
      <c r="A14" s="4" t="s">
        <v>438</v>
      </c>
      <c r="B14" s="30" t="n">
        <f aca="false">-(02_Inputs_simulation!$B$27+02_Inputs_simulation!$B$28+02_Inputs_simulation!$B$29+02_Inputs_simulation!$B$30+02_Inputs_simulation!$B$31)</f>
        <v>-2780</v>
      </c>
    </row>
    <row r="15" customFormat="false" ht="15" hidden="false" customHeight="true" outlineLevel="0" collapsed="false">
      <c r="A15" s="4" t="s">
        <v>439</v>
      </c>
      <c r="B15" s="30" t="n">
        <f aca="false">-(02_Inputs_simulation!$B$18*02_Inputs_simulation!$B$19+02_Inputs_simulation!$B$18*02_Inputs_simulation!$B$21)</f>
        <v>-11009</v>
      </c>
    </row>
    <row r="16" customFormat="false" ht="15" hidden="false" customHeight="true" outlineLevel="0" collapsed="false">
      <c r="A16" s="4" t="s">
        <v>440</v>
      </c>
      <c r="B16" s="30" t="n">
        <f aca="false">-02_Inputs_simulation!$B$32</f>
        <v>-600</v>
      </c>
    </row>
    <row r="17" customFormat="false" ht="15" hidden="false" customHeight="true" outlineLevel="0" collapsed="false">
      <c r="A17" s="4" t="s">
        <v>441</v>
      </c>
      <c r="B17" s="30" t="n">
        <f aca="false">SUM(B12:B16)</f>
        <v>-1717</v>
      </c>
    </row>
    <row r="19" customFormat="false" ht="15" hidden="false" customHeight="true" outlineLevel="0" collapsed="false">
      <c r="A19" s="7" t="s">
        <v>442</v>
      </c>
      <c r="B19" s="7"/>
      <c r="C19" s="7"/>
      <c r="D19" s="7"/>
      <c r="E19" s="7"/>
    </row>
    <row r="20" customFormat="false" ht="15" hidden="false" customHeight="true" outlineLevel="0" collapsed="false">
      <c r="A20" s="4" t="s">
        <v>443</v>
      </c>
      <c r="B20" s="39" t="n">
        <v>1</v>
      </c>
      <c r="D20" s="31" t="s">
        <v>444</v>
      </c>
    </row>
    <row r="21" customFormat="false" ht="15" hidden="false" customHeight="true" outlineLevel="0" collapsed="false">
      <c r="A21" s="4" t="s">
        <v>445</v>
      </c>
      <c r="B21" s="30" t="n">
        <f aca="false">B17*B20</f>
        <v>-1717</v>
      </c>
    </row>
    <row r="23" customFormat="false" ht="15" hidden="false" customHeight="true" outlineLevel="0" collapsed="false">
      <c r="A23" s="7" t="s">
        <v>446</v>
      </c>
      <c r="B23" s="7"/>
      <c r="C23" s="7"/>
      <c r="D23" s="7"/>
      <c r="E23" s="7"/>
    </row>
    <row r="24" customFormat="false" ht="15" hidden="false" customHeight="true" outlineLevel="0" collapsed="false">
      <c r="A24" s="4" t="s">
        <v>447</v>
      </c>
      <c r="B24" s="33" t="n">
        <f aca="false">02_Inputs_simulation!$B$5</f>
        <v>0.3</v>
      </c>
    </row>
    <row r="25" customFormat="false" ht="15" hidden="false" customHeight="true" outlineLevel="0" collapsed="false">
      <c r="A25" s="4" t="s">
        <v>242</v>
      </c>
      <c r="B25" s="30" t="n">
        <f aca="false">MAX(0,B21)*B24</f>
        <v>0</v>
      </c>
    </row>
    <row r="26" customFormat="false" ht="15" hidden="false" customHeight="true" outlineLevel="0" collapsed="false">
      <c r="A26" s="4" t="s">
        <v>448</v>
      </c>
      <c r="B26" s="30" t="n">
        <f aca="false">MAX(0,B21)*01_Paramètres_2026!$B$21</f>
        <v>0</v>
      </c>
    </row>
    <row r="27" customFormat="false" ht="15" hidden="false" customHeight="true" outlineLevel="0" collapsed="false">
      <c r="A27" s="4" t="s">
        <v>449</v>
      </c>
      <c r="B27" s="30" t="n">
        <f aca="false">IF(B21&lt;0,MAX(B21,-10700)*B24,0)</f>
        <v>-515.1</v>
      </c>
    </row>
    <row r="28" customFormat="false" ht="15" hidden="false" customHeight="true" outlineLevel="0" collapsed="false">
      <c r="A28" s="4" t="s">
        <v>450</v>
      </c>
      <c r="B28" s="34" t="n">
        <f aca="false">B25+B26+B27</f>
        <v>-515.1</v>
      </c>
    </row>
    <row r="30" customFormat="false" ht="15" hidden="false" customHeight="true" outlineLevel="0" collapsed="false">
      <c r="A30" s="7" t="s">
        <v>451</v>
      </c>
      <c r="B30" s="7"/>
      <c r="C30" s="7"/>
      <c r="D30" s="7"/>
      <c r="E30" s="7"/>
    </row>
    <row r="31" customFormat="false" ht="15" hidden="false" customHeight="true" outlineLevel="0" collapsed="false">
      <c r="A31" s="42" t="s">
        <v>452</v>
      </c>
      <c r="B31" s="42"/>
      <c r="C31" s="42"/>
      <c r="D31" s="42"/>
      <c r="E31" s="42"/>
    </row>
    <row r="32" customFormat="false" ht="15" hidden="false" customHeight="true" outlineLevel="0" collapsed="false">
      <c r="A32" s="42" t="s">
        <v>453</v>
      </c>
      <c r="B32" s="42"/>
      <c r="C32" s="42"/>
      <c r="D32" s="42"/>
      <c r="E32" s="42"/>
    </row>
    <row r="33" customFormat="false" ht="15" hidden="false" customHeight="true" outlineLevel="0" collapsed="false">
      <c r="A33" s="42" t="s">
        <v>454</v>
      </c>
      <c r="B33" s="42"/>
      <c r="C33" s="42"/>
      <c r="D33" s="42"/>
      <c r="E33" s="42"/>
    </row>
    <row r="34" customFormat="false" ht="15" hidden="false" customHeight="true" outlineLevel="0" collapsed="false">
      <c r="A34" s="42" t="s">
        <v>455</v>
      </c>
      <c r="B34" s="42"/>
      <c r="C34" s="42"/>
      <c r="D34" s="42"/>
      <c r="E34" s="42"/>
    </row>
    <row r="35" customFormat="false" ht="15" hidden="false" customHeight="true" outlineLevel="0" collapsed="false">
      <c r="A35" s="42" t="s">
        <v>456</v>
      </c>
      <c r="B35" s="42"/>
      <c r="C35" s="42"/>
      <c r="D35" s="42"/>
      <c r="E35" s="42"/>
    </row>
    <row r="38" customFormat="false" ht="15" hidden="false" customHeight="true" outlineLevel="0" collapsed="false">
      <c r="A38" s="7" t="s">
        <v>457</v>
      </c>
      <c r="B38" s="7"/>
      <c r="C38" s="7"/>
      <c r="D38" s="7"/>
      <c r="E38" s="7"/>
    </row>
    <row r="39" customFormat="false" ht="15" hidden="false" customHeight="true" outlineLevel="0" collapsed="false">
      <c r="A39" s="36" t="s">
        <v>458</v>
      </c>
      <c r="B39" s="36"/>
      <c r="C39" s="36"/>
      <c r="D39" s="36"/>
      <c r="E39" s="36"/>
    </row>
    <row r="40" customFormat="false" ht="15" hidden="false" customHeight="true" outlineLevel="0" collapsed="false">
      <c r="A40" s="36" t="s">
        <v>459</v>
      </c>
      <c r="B40" s="36"/>
      <c r="C40" s="36"/>
      <c r="D40" s="36"/>
      <c r="E40" s="36"/>
    </row>
    <row r="41" customFormat="false" ht="15" hidden="false" customHeight="true" outlineLevel="0" collapsed="false">
      <c r="A41" s="36" t="s">
        <v>460</v>
      </c>
      <c r="B41" s="36"/>
      <c r="C41" s="36"/>
      <c r="D41" s="36"/>
      <c r="E41" s="36"/>
    </row>
    <row r="42" customFormat="false" ht="15" hidden="false" customHeight="true" outlineLevel="0" collapsed="false">
      <c r="A42" s="36" t="s">
        <v>461</v>
      </c>
      <c r="B42" s="36"/>
      <c r="C42" s="36"/>
      <c r="D42" s="36"/>
      <c r="E42" s="36"/>
    </row>
    <row r="43" customFormat="false" ht="15" hidden="false" customHeight="true" outlineLevel="0" collapsed="false">
      <c r="A43" s="36" t="s">
        <v>462</v>
      </c>
      <c r="B43" s="36"/>
      <c r="C43" s="36"/>
      <c r="D43" s="36"/>
      <c r="E43" s="36"/>
    </row>
    <row r="44" customFormat="false" ht="15" hidden="false" customHeight="true" outlineLevel="0" collapsed="false">
      <c r="A44" s="37" t="s">
        <v>463</v>
      </c>
      <c r="B44" s="37"/>
      <c r="C44" s="37"/>
      <c r="D44" s="37"/>
      <c r="E44" s="37"/>
    </row>
    <row r="45" customFormat="false" ht="15" hidden="false" customHeight="true" outlineLevel="0" collapsed="false">
      <c r="A45" s="37" t="s">
        <v>464</v>
      </c>
      <c r="B45" s="37"/>
      <c r="C45" s="37"/>
      <c r="D45" s="37"/>
      <c r="E45" s="37"/>
    </row>
    <row r="46" customFormat="false" ht="15" hidden="false" customHeight="true" outlineLevel="0" collapsed="false">
      <c r="A46" s="37" t="s">
        <v>465</v>
      </c>
      <c r="B46" s="37"/>
      <c r="C46" s="37"/>
      <c r="D46" s="37"/>
      <c r="E46" s="37"/>
    </row>
    <row r="47" customFormat="false" ht="15" hidden="false" customHeight="true" outlineLevel="0" collapsed="false">
      <c r="A47" s="37" t="s">
        <v>466</v>
      </c>
      <c r="B47" s="37"/>
      <c r="C47" s="37"/>
      <c r="D47" s="37"/>
      <c r="E47" s="37"/>
    </row>
    <row r="48" customFormat="false" ht="15" hidden="false" customHeight="true" outlineLevel="0" collapsed="false">
      <c r="A48" s="38" t="s">
        <v>467</v>
      </c>
      <c r="B48" s="38"/>
      <c r="C48" s="38"/>
      <c r="D48" s="38"/>
      <c r="E48" s="38"/>
    </row>
  </sheetData>
  <mergeCells count="28">
    <mergeCell ref="A1:E1"/>
    <mergeCell ref="A2:E2"/>
    <mergeCell ref="A4:E4"/>
    <mergeCell ref="A5:E5"/>
    <mergeCell ref="A6:E6"/>
    <mergeCell ref="A7:E7"/>
    <mergeCell ref="A8:E8"/>
    <mergeCell ref="A9:E9"/>
    <mergeCell ref="A11:E11"/>
    <mergeCell ref="A19:E19"/>
    <mergeCell ref="A23:E23"/>
    <mergeCell ref="A30:E30"/>
    <mergeCell ref="A31:E31"/>
    <mergeCell ref="A32:E32"/>
    <mergeCell ref="A33:E33"/>
    <mergeCell ref="A34:E34"/>
    <mergeCell ref="A35:E35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55"/>
    <col collapsed="false" customWidth="true" hidden="false" outlineLevel="0" max="5" min="5" style="1" width="4"/>
  </cols>
  <sheetData>
    <row r="1" customFormat="false" ht="24.75" hidden="false" customHeight="true" outlineLevel="0" collapsed="false">
      <c r="A1" s="2" t="s">
        <v>468</v>
      </c>
      <c r="B1" s="2"/>
      <c r="C1" s="2"/>
      <c r="D1" s="2"/>
      <c r="E1" s="2"/>
    </row>
    <row r="2" customFormat="false" ht="15" hidden="false" customHeight="true" outlineLevel="0" collapsed="false">
      <c r="A2" s="3" t="s">
        <v>469</v>
      </c>
      <c r="B2" s="3"/>
      <c r="C2" s="3"/>
      <c r="D2" s="3"/>
      <c r="E2" s="3"/>
    </row>
    <row r="4" customFormat="false" ht="15" hidden="false" customHeight="true" outlineLevel="0" collapsed="false">
      <c r="A4" s="7" t="s">
        <v>470</v>
      </c>
      <c r="B4" s="7"/>
      <c r="C4" s="7"/>
      <c r="D4" s="7"/>
      <c r="E4" s="7"/>
    </row>
    <row r="5" customFormat="false" ht="15" hidden="false" customHeight="true" outlineLevel="0" collapsed="false">
      <c r="A5" s="4" t="s">
        <v>229</v>
      </c>
      <c r="B5" s="30" t="n">
        <f aca="false">02_Inputs_simulation!$B$25</f>
        <v>13200</v>
      </c>
    </row>
    <row r="6" customFormat="false" ht="15" hidden="false" customHeight="true" outlineLevel="0" collapsed="false">
      <c r="A6" s="4" t="s">
        <v>270</v>
      </c>
      <c r="B6" s="30" t="n">
        <f aca="false">-02_Inputs_simulation!$B$25*02_Inputs_simulation!$B$26</f>
        <v>-528</v>
      </c>
    </row>
    <row r="7" customFormat="false" ht="15" hidden="false" customHeight="true" outlineLevel="0" collapsed="false">
      <c r="A7" s="4" t="s">
        <v>438</v>
      </c>
      <c r="B7" s="30" t="n">
        <f aca="false">-(02_Inputs_simulation!$B$27+02_Inputs_simulation!$B$28+02_Inputs_simulation!$B$29+02_Inputs_simulation!$B$30+02_Inputs_simulation!$B$31)</f>
        <v>-2780</v>
      </c>
    </row>
    <row r="8" customFormat="false" ht="15" hidden="false" customHeight="true" outlineLevel="0" collapsed="false">
      <c r="A8" s="4" t="s">
        <v>439</v>
      </c>
      <c r="B8" s="30" t="n">
        <f aca="false">-(02_Inputs_simulation!$B$18*02_Inputs_simulation!$B$19+02_Inputs_simulation!$B$18*02_Inputs_simulation!$B$21)</f>
        <v>-11009</v>
      </c>
    </row>
    <row r="9" customFormat="false" ht="15" hidden="false" customHeight="true" outlineLevel="0" collapsed="false">
      <c r="A9" s="4" t="s">
        <v>471</v>
      </c>
      <c r="B9" s="40" t="n">
        <f aca="false">-1500</f>
        <v>-1500</v>
      </c>
      <c r="D9" s="31" t="s">
        <v>472</v>
      </c>
    </row>
    <row r="11" customFormat="false" ht="15" hidden="false" customHeight="true" outlineLevel="0" collapsed="false">
      <c r="A11" s="7" t="s">
        <v>473</v>
      </c>
      <c r="B11" s="7"/>
      <c r="C11" s="7"/>
      <c r="D11" s="7"/>
      <c r="E11" s="7"/>
    </row>
    <row r="12" customFormat="false" ht="15" hidden="false" customHeight="true" outlineLevel="0" collapsed="false">
      <c r="A12" s="4" t="s">
        <v>474</v>
      </c>
      <c r="B12" s="30" t="n">
        <f aca="false">02_Inputs_simulation!$B$10+02_Inputs_simulation!$B$11+02_Inputs_simulation!$B$12</f>
        <v>282500</v>
      </c>
    </row>
    <row r="13" customFormat="false" ht="15" hidden="false" customHeight="true" outlineLevel="0" collapsed="false">
      <c r="A13" s="4" t="s">
        <v>190</v>
      </c>
      <c r="B13" s="30" t="n">
        <f aca="false">-B12*02_Inputs_simulation!$B$14</f>
        <v>-42375</v>
      </c>
    </row>
    <row r="14" customFormat="false" ht="15" hidden="false" customHeight="true" outlineLevel="0" collapsed="false">
      <c r="A14" s="4" t="s">
        <v>475</v>
      </c>
      <c r="B14" s="30" t="n">
        <f aca="false">B12+B13</f>
        <v>240125</v>
      </c>
    </row>
    <row r="15" customFormat="false" ht="15" hidden="false" customHeight="true" outlineLevel="0" collapsed="false">
      <c r="A15" s="4" t="s">
        <v>476</v>
      </c>
      <c r="B15" s="30" t="n">
        <f aca="false">-B14*0.4/80</f>
        <v>-1200.625</v>
      </c>
    </row>
    <row r="16" customFormat="false" ht="15" hidden="false" customHeight="true" outlineLevel="0" collapsed="false">
      <c r="A16" s="4" t="s">
        <v>477</v>
      </c>
      <c r="B16" s="30" t="n">
        <f aca="false">-B14*0.1/30</f>
        <v>-800.416666666667</v>
      </c>
    </row>
    <row r="17" customFormat="false" ht="15" hidden="false" customHeight="true" outlineLevel="0" collapsed="false">
      <c r="A17" s="4" t="s">
        <v>478</v>
      </c>
      <c r="B17" s="30" t="n">
        <f aca="false">-B14*0.2/25</f>
        <v>-1921</v>
      </c>
    </row>
    <row r="18" customFormat="false" ht="15" hidden="false" customHeight="true" outlineLevel="0" collapsed="false">
      <c r="A18" s="4" t="s">
        <v>479</v>
      </c>
      <c r="B18" s="30" t="n">
        <f aca="false">-B14*0.15/15</f>
        <v>-2401.25</v>
      </c>
    </row>
    <row r="19" customFormat="false" ht="15" hidden="false" customHeight="true" outlineLevel="0" collapsed="false">
      <c r="A19" s="4" t="s">
        <v>480</v>
      </c>
      <c r="B19" s="30" t="n">
        <f aca="false">-B14*0.15/40</f>
        <v>-900.46875</v>
      </c>
    </row>
    <row r="20" customFormat="false" ht="15" hidden="false" customHeight="true" outlineLevel="0" collapsed="false">
      <c r="A20" s="4" t="s">
        <v>481</v>
      </c>
      <c r="B20" s="30" t="n">
        <f aca="false">SUM(B15:B19)</f>
        <v>-7223.76041666667</v>
      </c>
    </row>
    <row r="22" customFormat="false" ht="15" hidden="false" customHeight="true" outlineLevel="0" collapsed="false">
      <c r="A22" s="7" t="s">
        <v>482</v>
      </c>
      <c r="B22" s="7"/>
      <c r="C22" s="7"/>
      <c r="D22" s="7"/>
      <c r="E22" s="7"/>
    </row>
    <row r="23" customFormat="false" ht="15" hidden="false" customHeight="true" outlineLevel="0" collapsed="false">
      <c r="A23" s="4" t="s">
        <v>483</v>
      </c>
      <c r="B23" s="30" t="n">
        <f aca="false">SUM(B5:B9)+B20</f>
        <v>-9840.76041666667</v>
      </c>
      <c r="D23" s="31" t="s">
        <v>484</v>
      </c>
    </row>
    <row r="24" customFormat="false" ht="15" hidden="false" customHeight="true" outlineLevel="0" collapsed="false">
      <c r="A24" s="4" t="s">
        <v>485</v>
      </c>
      <c r="B24" s="30" t="n">
        <f aca="false">MAX(0,B23)</f>
        <v>0</v>
      </c>
    </row>
    <row r="26" customFormat="false" ht="15" hidden="false" customHeight="true" outlineLevel="0" collapsed="false">
      <c r="A26" s="7" t="s">
        <v>486</v>
      </c>
      <c r="B26" s="7"/>
      <c r="C26" s="7"/>
      <c r="D26" s="7"/>
      <c r="E26" s="7"/>
    </row>
    <row r="27" customFormat="false" ht="15" hidden="false" customHeight="true" outlineLevel="0" collapsed="false">
      <c r="A27" s="4" t="s">
        <v>487</v>
      </c>
      <c r="B27" s="30" t="n">
        <f aca="false">01_Paramètres_2026!$C$39</f>
        <v>42500</v>
      </c>
    </row>
    <row r="28" customFormat="false" ht="15" hidden="false" customHeight="true" outlineLevel="0" collapsed="false">
      <c r="A28" s="4" t="s">
        <v>488</v>
      </c>
      <c r="B28" s="30" t="n">
        <f aca="false">MIN(B24,B27)*01_Paramètres_2026!$D$39</f>
        <v>0</v>
      </c>
      <c r="D28" s="31" t="s">
        <v>489</v>
      </c>
    </row>
    <row r="29" customFormat="false" ht="15" hidden="false" customHeight="true" outlineLevel="0" collapsed="false">
      <c r="A29" s="4" t="s">
        <v>490</v>
      </c>
      <c r="B29" s="30" t="n">
        <f aca="false">MAX(0,B24-B27)*01_Paramètres_2026!$D$40</f>
        <v>0</v>
      </c>
    </row>
    <row r="30" customFormat="false" ht="15" hidden="false" customHeight="true" outlineLevel="0" collapsed="false">
      <c r="A30" s="4" t="s">
        <v>491</v>
      </c>
      <c r="B30" s="34" t="n">
        <f aca="false">B28+B29</f>
        <v>0</v>
      </c>
    </row>
    <row r="31" customFormat="false" ht="15" hidden="false" customHeight="true" outlineLevel="0" collapsed="false">
      <c r="A31" s="4" t="s">
        <v>492</v>
      </c>
      <c r="B31" s="30" t="n">
        <f aca="false">B24-B30</f>
        <v>0</v>
      </c>
    </row>
    <row r="33" customFormat="false" ht="15" hidden="false" customHeight="true" outlineLevel="0" collapsed="false">
      <c r="A33" s="7" t="s">
        <v>493</v>
      </c>
      <c r="B33" s="7"/>
      <c r="C33" s="7"/>
      <c r="D33" s="7"/>
      <c r="E33" s="7"/>
    </row>
    <row r="34" customFormat="false" ht="15" hidden="false" customHeight="true" outlineLevel="0" collapsed="false">
      <c r="A34" s="4" t="s">
        <v>494</v>
      </c>
      <c r="B34" s="39" t="n">
        <v>0.5</v>
      </c>
      <c r="D34" s="31" t="s">
        <v>495</v>
      </c>
    </row>
    <row r="35" customFormat="false" ht="15" hidden="false" customHeight="true" outlineLevel="0" collapsed="false">
      <c r="A35" s="4" t="s">
        <v>496</v>
      </c>
      <c r="B35" s="30" t="n">
        <f aca="false">B31*B34</f>
        <v>0</v>
      </c>
    </row>
    <row r="36" customFormat="false" ht="15" hidden="false" customHeight="true" outlineLevel="0" collapsed="false">
      <c r="A36" s="4" t="s">
        <v>497</v>
      </c>
      <c r="B36" s="30" t="n">
        <f aca="false">B35*0.128</f>
        <v>0</v>
      </c>
      <c r="D36" s="31" t="s">
        <v>498</v>
      </c>
    </row>
    <row r="37" customFormat="false" ht="15" hidden="false" customHeight="true" outlineLevel="0" collapsed="false">
      <c r="A37" s="4" t="s">
        <v>499</v>
      </c>
      <c r="B37" s="30" t="n">
        <f aca="false">B35*01_Paramètres_2026!$B$22</f>
        <v>0</v>
      </c>
    </row>
    <row r="38" customFormat="false" ht="15" hidden="false" customHeight="true" outlineLevel="0" collapsed="false">
      <c r="A38" s="4" t="s">
        <v>500</v>
      </c>
      <c r="B38" s="30" t="n">
        <f aca="false">B35-B36-B37</f>
        <v>0</v>
      </c>
    </row>
    <row r="40" customFormat="false" ht="15" hidden="false" customHeight="true" outlineLevel="0" collapsed="false">
      <c r="A40" s="7" t="s">
        <v>501</v>
      </c>
      <c r="B40" s="7"/>
      <c r="C40" s="7"/>
      <c r="D40" s="7"/>
      <c r="E40" s="7"/>
    </row>
    <row r="41" customFormat="false" ht="15" hidden="false" customHeight="true" outlineLevel="0" collapsed="false">
      <c r="A41" s="4" t="s">
        <v>502</v>
      </c>
      <c r="B41" s="30" t="n">
        <f aca="false">B30</f>
        <v>0</v>
      </c>
    </row>
    <row r="42" customFormat="false" ht="15" hidden="false" customHeight="true" outlineLevel="0" collapsed="false">
      <c r="A42" s="4" t="s">
        <v>503</v>
      </c>
      <c r="B42" s="30" t="n">
        <f aca="false">B36+B37</f>
        <v>0</v>
      </c>
    </row>
    <row r="43" customFormat="false" ht="15" hidden="false" customHeight="true" outlineLevel="0" collapsed="false">
      <c r="A43" s="4" t="s">
        <v>504</v>
      </c>
      <c r="B43" s="34" t="n">
        <f aca="false">B41+B42</f>
        <v>0</v>
      </c>
    </row>
    <row r="44" customFormat="false" ht="15" hidden="false" customHeight="true" outlineLevel="0" collapsed="false">
      <c r="A44" s="4" t="s">
        <v>378</v>
      </c>
      <c r="B44" s="35" t="n">
        <f aca="false">IF(B5&gt;0,B43/B5,0)</f>
        <v>0</v>
      </c>
    </row>
    <row r="45" customFormat="false" ht="15" hidden="false" customHeight="true" outlineLevel="0" collapsed="false">
      <c r="A45" s="4" t="s">
        <v>505</v>
      </c>
      <c r="B45" s="30" t="n">
        <f aca="false">B31-B35</f>
        <v>0</v>
      </c>
      <c r="D45" s="31" t="s">
        <v>506</v>
      </c>
    </row>
    <row r="47" customFormat="false" ht="15" hidden="false" customHeight="true" outlineLevel="0" collapsed="false">
      <c r="A47" s="7" t="s">
        <v>507</v>
      </c>
      <c r="B47" s="7"/>
      <c r="C47" s="7"/>
      <c r="D47" s="7"/>
      <c r="E47" s="7"/>
    </row>
    <row r="48" customFormat="false" ht="15" hidden="false" customHeight="true" outlineLevel="0" collapsed="false">
      <c r="A48" s="41" t="s">
        <v>508</v>
      </c>
      <c r="B48" s="41"/>
      <c r="C48" s="41"/>
      <c r="D48" s="41"/>
      <c r="E48" s="41"/>
    </row>
    <row r="49" customFormat="false" ht="15" hidden="false" customHeight="true" outlineLevel="0" collapsed="false">
      <c r="A49" s="42" t="s">
        <v>509</v>
      </c>
      <c r="B49" s="42"/>
      <c r="C49" s="42"/>
      <c r="D49" s="42"/>
      <c r="E49" s="42"/>
    </row>
    <row r="50" customFormat="false" ht="15" hidden="false" customHeight="true" outlineLevel="0" collapsed="false">
      <c r="A50" s="42" t="s">
        <v>510</v>
      </c>
      <c r="B50" s="42"/>
      <c r="C50" s="42"/>
      <c r="D50" s="42"/>
      <c r="E50" s="42"/>
    </row>
    <row r="51" customFormat="false" ht="15" hidden="false" customHeight="true" outlineLevel="0" collapsed="false">
      <c r="A51" s="42" t="s">
        <v>511</v>
      </c>
      <c r="B51" s="42"/>
      <c r="C51" s="42"/>
      <c r="D51" s="42"/>
      <c r="E51" s="42"/>
    </row>
    <row r="52" customFormat="false" ht="15" hidden="false" customHeight="true" outlineLevel="0" collapsed="false">
      <c r="A52" s="38" t="s">
        <v>512</v>
      </c>
      <c r="B52" s="38"/>
      <c r="C52" s="38"/>
      <c r="D52" s="38"/>
      <c r="E52" s="38"/>
    </row>
    <row r="53" customFormat="false" ht="15" hidden="false" customHeight="true" outlineLevel="0" collapsed="false">
      <c r="A53" s="42" t="s">
        <v>513</v>
      </c>
      <c r="B53" s="42"/>
      <c r="C53" s="42"/>
      <c r="D53" s="42"/>
      <c r="E53" s="42"/>
    </row>
    <row r="55" customFormat="false" ht="15" hidden="false" customHeight="true" outlineLevel="0" collapsed="false">
      <c r="A55" s="7" t="s">
        <v>514</v>
      </c>
      <c r="B55" s="7"/>
      <c r="C55" s="7"/>
      <c r="D55" s="7"/>
      <c r="E55" s="7"/>
    </row>
    <row r="56" customFormat="false" ht="15" hidden="false" customHeight="true" outlineLevel="0" collapsed="false">
      <c r="A56" s="36" t="s">
        <v>515</v>
      </c>
      <c r="B56" s="36"/>
      <c r="C56" s="36"/>
      <c r="D56" s="36"/>
      <c r="E56" s="36"/>
    </row>
    <row r="57" customFormat="false" ht="15" hidden="false" customHeight="true" outlineLevel="0" collapsed="false">
      <c r="A57" s="36" t="s">
        <v>516</v>
      </c>
      <c r="B57" s="36"/>
      <c r="C57" s="36"/>
      <c r="D57" s="36"/>
      <c r="E57" s="36"/>
    </row>
    <row r="58" customFormat="false" ht="15" hidden="false" customHeight="true" outlineLevel="0" collapsed="false">
      <c r="A58" s="36" t="s">
        <v>517</v>
      </c>
      <c r="B58" s="36"/>
      <c r="C58" s="36"/>
      <c r="D58" s="36"/>
      <c r="E58" s="36"/>
    </row>
    <row r="59" customFormat="false" ht="15" hidden="false" customHeight="true" outlineLevel="0" collapsed="false">
      <c r="A59" s="36" t="s">
        <v>518</v>
      </c>
      <c r="B59" s="36"/>
      <c r="C59" s="36"/>
      <c r="D59" s="36"/>
      <c r="E59" s="36"/>
    </row>
    <row r="60" customFormat="false" ht="15" hidden="false" customHeight="true" outlineLevel="0" collapsed="false">
      <c r="A60" s="36" t="s">
        <v>519</v>
      </c>
      <c r="B60" s="36"/>
      <c r="C60" s="36"/>
      <c r="D60" s="36"/>
      <c r="E60" s="36"/>
    </row>
    <row r="61" customFormat="false" ht="15" hidden="false" customHeight="true" outlineLevel="0" collapsed="false">
      <c r="A61" s="37" t="s">
        <v>520</v>
      </c>
      <c r="B61" s="37"/>
      <c r="C61" s="37"/>
      <c r="D61" s="37"/>
      <c r="E61" s="37"/>
    </row>
    <row r="62" customFormat="false" ht="15" hidden="false" customHeight="true" outlineLevel="0" collapsed="false">
      <c r="A62" s="37" t="s">
        <v>521</v>
      </c>
      <c r="B62" s="37"/>
      <c r="C62" s="37"/>
      <c r="D62" s="37"/>
      <c r="E62" s="37"/>
    </row>
    <row r="63" customFormat="false" ht="15" hidden="false" customHeight="true" outlineLevel="0" collapsed="false">
      <c r="A63" s="37" t="s">
        <v>522</v>
      </c>
      <c r="B63" s="37"/>
      <c r="C63" s="37"/>
      <c r="D63" s="37"/>
      <c r="E63" s="37"/>
    </row>
    <row r="64" customFormat="false" ht="15" hidden="false" customHeight="true" outlineLevel="0" collapsed="false">
      <c r="A64" s="37" t="s">
        <v>523</v>
      </c>
      <c r="B64" s="37"/>
      <c r="C64" s="37"/>
      <c r="D64" s="37"/>
      <c r="E64" s="37"/>
    </row>
    <row r="65" customFormat="false" ht="15" hidden="false" customHeight="true" outlineLevel="0" collapsed="false">
      <c r="A65" s="38" t="s">
        <v>524</v>
      </c>
      <c r="B65" s="38"/>
      <c r="C65" s="38"/>
      <c r="D65" s="38"/>
      <c r="E65" s="38"/>
    </row>
  </sheetData>
  <mergeCells count="26">
    <mergeCell ref="A1:E1"/>
    <mergeCell ref="A2:E2"/>
    <mergeCell ref="A4:E4"/>
    <mergeCell ref="A11:E11"/>
    <mergeCell ref="A22:E22"/>
    <mergeCell ref="A26:E26"/>
    <mergeCell ref="A33:E33"/>
    <mergeCell ref="A40:E40"/>
    <mergeCell ref="A47:E47"/>
    <mergeCell ref="A48:E48"/>
    <mergeCell ref="A49:E49"/>
    <mergeCell ref="A50:E50"/>
    <mergeCell ref="A51:E51"/>
    <mergeCell ref="A52:E52"/>
    <mergeCell ref="A53:E53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3" min="2" style="1" width="16"/>
    <col collapsed="false" customWidth="true" hidden="false" outlineLevel="0" max="4" min="4" style="1" width="50"/>
    <col collapsed="false" customWidth="true" hidden="false" outlineLevel="0" max="5" min="5" style="1" width="4"/>
  </cols>
  <sheetData>
    <row r="1" customFormat="false" ht="24.75" hidden="false" customHeight="true" outlineLevel="0" collapsed="false">
      <c r="A1" s="2" t="s">
        <v>525</v>
      </c>
      <c r="B1" s="2"/>
      <c r="C1" s="2"/>
      <c r="D1" s="2"/>
      <c r="E1" s="2"/>
    </row>
    <row r="2" customFormat="false" ht="15" hidden="false" customHeight="true" outlineLevel="0" collapsed="false">
      <c r="A2" s="3" t="s">
        <v>526</v>
      </c>
      <c r="B2" s="3"/>
      <c r="C2" s="3"/>
      <c r="D2" s="3"/>
      <c r="E2" s="3"/>
    </row>
    <row r="4" customFormat="false" ht="15" hidden="false" customHeight="true" outlineLevel="0" collapsed="false">
      <c r="A4" s="44" t="s">
        <v>527</v>
      </c>
      <c r="B4" s="44"/>
      <c r="C4" s="44"/>
      <c r="D4" s="44"/>
      <c r="E4" s="44"/>
    </row>
    <row r="5" customFormat="false" ht="15" hidden="false" customHeight="true" outlineLevel="0" collapsed="false">
      <c r="A5" s="42" t="s">
        <v>528</v>
      </c>
      <c r="B5" s="42"/>
      <c r="C5" s="42"/>
      <c r="D5" s="42"/>
      <c r="E5" s="42"/>
    </row>
    <row r="6" customFormat="false" ht="15" hidden="false" customHeight="true" outlineLevel="0" collapsed="false">
      <c r="A6" s="42" t="s">
        <v>529</v>
      </c>
      <c r="B6" s="42"/>
      <c r="C6" s="42"/>
      <c r="D6" s="42"/>
      <c r="E6" s="42"/>
    </row>
    <row r="7" customFormat="false" ht="15" hidden="false" customHeight="true" outlineLevel="0" collapsed="false">
      <c r="A7" s="42" t="s">
        <v>530</v>
      </c>
      <c r="B7" s="42"/>
      <c r="C7" s="42"/>
      <c r="D7" s="42"/>
      <c r="E7" s="42"/>
    </row>
    <row r="8" customFormat="false" ht="15" hidden="false" customHeight="true" outlineLevel="0" collapsed="false">
      <c r="A8" s="42" t="s">
        <v>531</v>
      </c>
      <c r="B8" s="42"/>
      <c r="C8" s="42"/>
      <c r="D8" s="42"/>
      <c r="E8" s="42"/>
    </row>
    <row r="9" customFormat="false" ht="15" hidden="false" customHeight="true" outlineLevel="0" collapsed="false">
      <c r="A9" s="38" t="s">
        <v>532</v>
      </c>
      <c r="B9" s="38"/>
      <c r="C9" s="38"/>
      <c r="D9" s="38"/>
      <c r="E9" s="38"/>
    </row>
    <row r="10" customFormat="false" ht="15" hidden="false" customHeight="true" outlineLevel="0" collapsed="false">
      <c r="A10" s="38" t="s">
        <v>533</v>
      </c>
      <c r="B10" s="38"/>
      <c r="C10" s="38"/>
      <c r="D10" s="38"/>
      <c r="E10" s="38"/>
    </row>
    <row r="12" customFormat="false" ht="15" hidden="false" customHeight="true" outlineLevel="0" collapsed="false">
      <c r="A12" s="7" t="s">
        <v>534</v>
      </c>
      <c r="B12" s="7"/>
      <c r="C12" s="7"/>
      <c r="D12" s="7"/>
      <c r="E12" s="7"/>
    </row>
    <row r="13" customFormat="false" ht="26.25" hidden="false" customHeight="true" outlineLevel="0" collapsed="false">
      <c r="A13" s="8" t="s">
        <v>535</v>
      </c>
      <c r="B13" s="8" t="s">
        <v>536</v>
      </c>
      <c r="C13" s="8" t="s">
        <v>147</v>
      </c>
    </row>
    <row r="14" customFormat="false" ht="15" hidden="false" customHeight="true" outlineLevel="0" collapsed="false">
      <c r="A14" s="45" t="s">
        <v>537</v>
      </c>
      <c r="B14" s="46" t="n">
        <v>0.09</v>
      </c>
      <c r="C14" s="46" t="n">
        <v>0.015</v>
      </c>
    </row>
    <row r="15" customFormat="false" ht="15" hidden="false" customHeight="true" outlineLevel="0" collapsed="false">
      <c r="A15" s="45" t="s">
        <v>538</v>
      </c>
      <c r="B15" s="46" t="n">
        <v>0.12</v>
      </c>
      <c r="C15" s="46" t="n">
        <v>0.0133</v>
      </c>
    </row>
    <row r="16" customFormat="false" ht="15" hidden="false" customHeight="true" outlineLevel="0" collapsed="false">
      <c r="A16" s="45" t="s">
        <v>539</v>
      </c>
      <c r="B16" s="46" t="n">
        <v>0.14</v>
      </c>
      <c r="C16" s="46" t="n">
        <v>0.0117</v>
      </c>
    </row>
    <row r="18" customFormat="false" ht="15" hidden="false" customHeight="true" outlineLevel="0" collapsed="false">
      <c r="A18" s="4" t="s">
        <v>540</v>
      </c>
      <c r="B18" s="40" t="n">
        <v>300000</v>
      </c>
      <c r="D18" s="31" t="s">
        <v>541</v>
      </c>
    </row>
    <row r="19" customFormat="false" ht="15" hidden="false" customHeight="true" outlineLevel="0" collapsed="false">
      <c r="A19" s="4" t="s">
        <v>542</v>
      </c>
      <c r="B19" s="47" t="n">
        <v>5500</v>
      </c>
      <c r="D19" s="31" t="s">
        <v>543</v>
      </c>
    </row>
    <row r="20" customFormat="false" ht="15" hidden="false" customHeight="true" outlineLevel="0" collapsed="false">
      <c r="A20" s="4" t="s">
        <v>544</v>
      </c>
      <c r="B20" s="47" t="n">
        <v>18.25</v>
      </c>
      <c r="D20" s="31" t="s">
        <v>545</v>
      </c>
    </row>
    <row r="21" customFormat="false" ht="15" hidden="false" customHeight="true" outlineLevel="0" collapsed="false">
      <c r="A21" s="4" t="s">
        <v>546</v>
      </c>
      <c r="B21" s="30" t="n">
        <f aca="false">MIN(B18,300000)*0.14</f>
        <v>42000</v>
      </c>
      <c r="D21" s="31" t="s">
        <v>547</v>
      </c>
    </row>
    <row r="23" customFormat="false" ht="15" hidden="false" customHeight="true" outlineLevel="0" collapsed="false">
      <c r="A23" s="7" t="s">
        <v>548</v>
      </c>
      <c r="B23" s="7"/>
      <c r="C23" s="7"/>
      <c r="D23" s="7"/>
      <c r="E23" s="7"/>
    </row>
    <row r="24" customFormat="false" ht="15" hidden="false" customHeight="true" outlineLevel="0" collapsed="false">
      <c r="A24" s="42" t="s">
        <v>549</v>
      </c>
      <c r="B24" s="42"/>
      <c r="C24" s="42"/>
      <c r="D24" s="42"/>
      <c r="E24" s="42"/>
    </row>
    <row r="25" customFormat="false" ht="15" hidden="false" customHeight="true" outlineLevel="0" collapsed="false">
      <c r="A25" s="42" t="s">
        <v>550</v>
      </c>
      <c r="B25" s="42"/>
      <c r="C25" s="42"/>
      <c r="D25" s="42"/>
      <c r="E25" s="42"/>
    </row>
    <row r="26" customFormat="false" ht="15" hidden="false" customHeight="true" outlineLevel="0" collapsed="false">
      <c r="A26" s="42" t="s">
        <v>551</v>
      </c>
      <c r="B26" s="42"/>
      <c r="C26" s="42"/>
      <c r="D26" s="42"/>
      <c r="E26" s="42"/>
    </row>
    <row r="27" customFormat="false" ht="15" hidden="false" customHeight="true" outlineLevel="0" collapsed="false">
      <c r="A27" s="42" t="s">
        <v>552</v>
      </c>
      <c r="B27" s="42"/>
      <c r="C27" s="42"/>
      <c r="D27" s="42"/>
      <c r="E27" s="42"/>
    </row>
    <row r="28" customFormat="false" ht="15" hidden="false" customHeight="true" outlineLevel="0" collapsed="false">
      <c r="A28" s="42" t="s">
        <v>553</v>
      </c>
      <c r="B28" s="42"/>
      <c r="C28" s="42"/>
      <c r="D28" s="42"/>
      <c r="E28" s="42"/>
    </row>
    <row r="29" customFormat="false" ht="15" hidden="false" customHeight="true" outlineLevel="0" collapsed="false">
      <c r="A29" s="38" t="s">
        <v>554</v>
      </c>
      <c r="B29" s="38"/>
      <c r="C29" s="38"/>
      <c r="D29" s="38"/>
      <c r="E29" s="38"/>
    </row>
    <row r="31" customFormat="false" ht="15" hidden="false" customHeight="true" outlineLevel="0" collapsed="false">
      <c r="A31" s="7" t="s">
        <v>555</v>
      </c>
      <c r="B31" s="7"/>
      <c r="C31" s="7"/>
      <c r="D31" s="7"/>
      <c r="E31" s="7"/>
    </row>
    <row r="32" customFormat="false" ht="15" hidden="false" customHeight="true" outlineLevel="0" collapsed="false">
      <c r="A32" s="42" t="s">
        <v>556</v>
      </c>
      <c r="B32" s="42"/>
      <c r="C32" s="42"/>
      <c r="D32" s="42"/>
      <c r="E32" s="42"/>
    </row>
    <row r="33" customFormat="false" ht="15" hidden="false" customHeight="true" outlineLevel="0" collapsed="false">
      <c r="A33" s="42" t="s">
        <v>557</v>
      </c>
      <c r="B33" s="42"/>
      <c r="C33" s="42"/>
      <c r="D33" s="42"/>
      <c r="E33" s="42"/>
    </row>
    <row r="34" customFormat="false" ht="15" hidden="false" customHeight="true" outlineLevel="0" collapsed="false">
      <c r="A34" s="42" t="s">
        <v>558</v>
      </c>
      <c r="B34" s="42"/>
      <c r="C34" s="42"/>
      <c r="D34" s="42"/>
      <c r="E34" s="42"/>
    </row>
    <row r="35" customFormat="false" ht="15" hidden="false" customHeight="true" outlineLevel="0" collapsed="false">
      <c r="A35" s="42" t="s">
        <v>559</v>
      </c>
      <c r="B35" s="42"/>
      <c r="C35" s="42"/>
      <c r="D35" s="42"/>
      <c r="E35" s="42"/>
    </row>
    <row r="36" customFormat="false" ht="15" hidden="false" customHeight="true" outlineLevel="0" collapsed="false">
      <c r="A36" s="38" t="s">
        <v>560</v>
      </c>
      <c r="B36" s="38"/>
      <c r="C36" s="38"/>
      <c r="D36" s="38"/>
      <c r="E36" s="38"/>
    </row>
    <row r="37" customFormat="false" ht="15" hidden="false" customHeight="true" outlineLevel="0" collapsed="false">
      <c r="A37" s="38" t="s">
        <v>561</v>
      </c>
      <c r="B37" s="38"/>
      <c r="C37" s="38"/>
      <c r="D37" s="38"/>
      <c r="E37" s="38"/>
    </row>
  </sheetData>
  <mergeCells count="24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2:E12"/>
    <mergeCell ref="A23:E23"/>
    <mergeCell ref="A24:E24"/>
    <mergeCell ref="A25:E25"/>
    <mergeCell ref="A26:E26"/>
    <mergeCell ref="A27:E27"/>
    <mergeCell ref="A28:E28"/>
    <mergeCell ref="A29:E29"/>
    <mergeCell ref="A31:E31"/>
    <mergeCell ref="A32:E32"/>
    <mergeCell ref="A33:E33"/>
    <mergeCell ref="A34:E34"/>
    <mergeCell ref="A35:E35"/>
    <mergeCell ref="A36:E36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8"/>
    <col collapsed="false" customWidth="true" hidden="false" outlineLevel="0" max="3" min="3" style="1" width="4"/>
    <col collapsed="false" customWidth="true" hidden="false" outlineLevel="0" max="4" min="4" style="1" width="50"/>
    <col collapsed="false" customWidth="true" hidden="false" outlineLevel="0" max="5" min="5" style="1" width="4"/>
  </cols>
  <sheetData>
    <row r="1" customFormat="false" ht="24.75" hidden="false" customHeight="true" outlineLevel="0" collapsed="false">
      <c r="A1" s="2" t="s">
        <v>562</v>
      </c>
      <c r="B1" s="2"/>
      <c r="C1" s="2"/>
      <c r="D1" s="2"/>
      <c r="E1" s="2"/>
    </row>
    <row r="2" customFormat="false" ht="15" hidden="false" customHeight="true" outlineLevel="0" collapsed="false">
      <c r="A2" s="3" t="s">
        <v>563</v>
      </c>
      <c r="B2" s="3"/>
      <c r="C2" s="3"/>
      <c r="D2" s="3"/>
      <c r="E2" s="3"/>
    </row>
    <row r="4" customFormat="false" ht="15" hidden="false" customHeight="true" outlineLevel="0" collapsed="false">
      <c r="A4" s="7" t="s">
        <v>564</v>
      </c>
      <c r="B4" s="7"/>
      <c r="C4" s="7"/>
      <c r="D4" s="7"/>
      <c r="E4" s="7"/>
    </row>
    <row r="5" customFormat="false" ht="15" hidden="false" customHeight="true" outlineLevel="0" collapsed="false">
      <c r="A5" s="4" t="s">
        <v>565</v>
      </c>
      <c r="B5" s="30" t="n">
        <f aca="false">02_Inputs_simulation!$B$10</f>
        <v>250000</v>
      </c>
    </row>
    <row r="6" customFormat="false" ht="15" hidden="false" customHeight="true" outlineLevel="0" collapsed="false">
      <c r="A6" s="4" t="s">
        <v>566</v>
      </c>
      <c r="B6" s="30" t="n">
        <f aca="false">02_Inputs_simulation!$B$10*0.075</f>
        <v>18750</v>
      </c>
      <c r="D6" s="31" t="s">
        <v>567</v>
      </c>
    </row>
    <row r="7" customFormat="false" ht="15" hidden="false" customHeight="true" outlineLevel="0" collapsed="false">
      <c r="A7" s="4" t="s">
        <v>568</v>
      </c>
      <c r="B7" s="30" t="n">
        <f aca="false">02_Inputs_simulation!$B$10*0.15</f>
        <v>37500</v>
      </c>
      <c r="D7" s="31" t="s">
        <v>569</v>
      </c>
    </row>
    <row r="8" customFormat="false" ht="15" hidden="false" customHeight="true" outlineLevel="0" collapsed="false">
      <c r="A8" s="4" t="s">
        <v>570</v>
      </c>
      <c r="B8" s="30" t="n">
        <f aca="false">B5+B6+B7</f>
        <v>306250</v>
      </c>
    </row>
    <row r="9" customFormat="false" ht="15" hidden="false" customHeight="true" outlineLevel="0" collapsed="false">
      <c r="A9" s="4" t="s">
        <v>571</v>
      </c>
      <c r="B9" s="48" t="n">
        <f aca="false">02_Inputs_simulation!$B$36</f>
        <v>0.02</v>
      </c>
    </row>
    <row r="10" customFormat="false" ht="15" hidden="false" customHeight="true" outlineLevel="0" collapsed="false">
      <c r="A10" s="4" t="s">
        <v>572</v>
      </c>
      <c r="B10" s="30" t="n">
        <f aca="false">02_Inputs_simulation!$B$10*POWER(1+02_Inputs_simulation!B37,B9)</f>
        <v>250000</v>
      </c>
      <c r="D10" s="31" t="s">
        <v>573</v>
      </c>
    </row>
    <row r="11" customFormat="false" ht="15" hidden="false" customHeight="true" outlineLevel="0" collapsed="false">
      <c r="A11" s="4" t="s">
        <v>574</v>
      </c>
      <c r="B11" s="30" t="n">
        <f aca="false">B10-B8</f>
        <v>-56250</v>
      </c>
    </row>
    <row r="13" customFormat="false" ht="15" hidden="false" customHeight="true" outlineLevel="0" collapsed="false">
      <c r="A13" s="7" t="s">
        <v>575</v>
      </c>
      <c r="B13" s="7"/>
      <c r="C13" s="7"/>
      <c r="D13" s="7"/>
      <c r="E13" s="7"/>
    </row>
    <row r="14" customFormat="false" ht="15" hidden="false" customHeight="true" outlineLevel="0" collapsed="false">
      <c r="A14" s="4" t="s">
        <v>576</v>
      </c>
      <c r="B14" s="39" t="n">
        <v>0.06</v>
      </c>
    </row>
    <row r="15" customFormat="false" ht="15" hidden="false" customHeight="true" outlineLevel="0" collapsed="false">
      <c r="A15" s="4" t="s">
        <v>129</v>
      </c>
      <c r="B15" s="39" t="n">
        <v>0.04</v>
      </c>
    </row>
    <row r="16" customFormat="false" ht="15" hidden="false" customHeight="true" outlineLevel="0" collapsed="false">
      <c r="A16" s="4" t="s">
        <v>577</v>
      </c>
      <c r="B16" s="39" t="n">
        <v>0.0165</v>
      </c>
    </row>
    <row r="17" customFormat="false" ht="15" hidden="false" customHeight="true" outlineLevel="0" collapsed="false">
      <c r="A17" s="4" t="s">
        <v>133</v>
      </c>
      <c r="B17" s="39" t="n">
        <v>0.016</v>
      </c>
    </row>
    <row r="18" customFormat="false" ht="15" hidden="false" customHeight="true" outlineLevel="0" collapsed="false">
      <c r="A18" s="4" t="s">
        <v>578</v>
      </c>
      <c r="B18" s="39" t="n">
        <v>0.09</v>
      </c>
    </row>
    <row r="20" customFormat="false" ht="15" hidden="false" customHeight="true" outlineLevel="0" collapsed="false">
      <c r="A20" s="4" t="s">
        <v>579</v>
      </c>
      <c r="B20" s="33" t="n">
        <f aca="false">IF(B9&lt;6,0,IF(B9&lt;22,(B9-5)*B14,IF(B9&lt;23,16*B14+B15,1)))</f>
        <v>0</v>
      </c>
      <c r="D20" s="31" t="s">
        <v>580</v>
      </c>
    </row>
    <row r="21" customFormat="false" ht="15" hidden="false" customHeight="true" outlineLevel="0" collapsed="false">
      <c r="A21" s="4" t="s">
        <v>581</v>
      </c>
      <c r="B21" s="33" t="n">
        <f aca="false">IF(B9&lt;6,0,IF(B9&lt;22,(B9-5)*B16,IF(B9&lt;23,16*B16+B17,IF(B9&lt;31,16*B16+B17+(B9-22)*B18,1))))</f>
        <v>0</v>
      </c>
      <c r="D21" s="31" t="s">
        <v>582</v>
      </c>
    </row>
    <row r="22" customFormat="false" ht="15" hidden="false" customHeight="true" outlineLevel="0" collapsed="false">
      <c r="A22" s="4" t="s">
        <v>583</v>
      </c>
      <c r="B22" s="30" t="n">
        <f aca="false">B11*(1-B20)</f>
        <v>-56250</v>
      </c>
    </row>
    <row r="23" customFormat="false" ht="15" hidden="false" customHeight="true" outlineLevel="0" collapsed="false">
      <c r="A23" s="4" t="s">
        <v>584</v>
      </c>
      <c r="B23" s="30" t="n">
        <f aca="false">B11*(1-B21)</f>
        <v>-56250</v>
      </c>
    </row>
    <row r="24" customFormat="false" ht="15" hidden="false" customHeight="true" outlineLevel="0" collapsed="false">
      <c r="A24" s="4" t="s">
        <v>585</v>
      </c>
      <c r="B24" s="30" t="n">
        <f aca="false">B22*0.19</f>
        <v>-10687.5</v>
      </c>
    </row>
    <row r="25" customFormat="false" ht="15" hidden="false" customHeight="true" outlineLevel="0" collapsed="false">
      <c r="A25" s="4" t="s">
        <v>586</v>
      </c>
      <c r="B25" s="30" t="n">
        <f aca="false">B23*0.172</f>
        <v>-9675</v>
      </c>
    </row>
    <row r="26" customFormat="false" ht="15" hidden="false" customHeight="true" outlineLevel="0" collapsed="false">
      <c r="A26" s="4" t="s">
        <v>587</v>
      </c>
      <c r="B26" s="30" t="n">
        <f aca="false">IF(B22&gt;50000,B22*0.02,0)</f>
        <v>0</v>
      </c>
      <c r="D26" s="31" t="s">
        <v>588</v>
      </c>
    </row>
    <row r="27" customFormat="false" ht="15" hidden="false" customHeight="true" outlineLevel="0" collapsed="false">
      <c r="A27" s="4" t="s">
        <v>589</v>
      </c>
      <c r="B27" s="34" t="n">
        <f aca="false">B24+B25+B26</f>
        <v>-20362.5</v>
      </c>
    </row>
    <row r="28" customFormat="false" ht="15" hidden="false" customHeight="true" outlineLevel="0" collapsed="false">
      <c r="A28" s="4" t="s">
        <v>590</v>
      </c>
      <c r="B28" s="34" t="n">
        <f aca="false">B11-B27</f>
        <v>-35887.5</v>
      </c>
    </row>
    <row r="30" customFormat="false" ht="15" hidden="false" customHeight="true" outlineLevel="0" collapsed="false">
      <c r="A30" s="7" t="s">
        <v>591</v>
      </c>
      <c r="B30" s="7"/>
      <c r="C30" s="7"/>
      <c r="D30" s="7"/>
      <c r="E30" s="7"/>
    </row>
    <row r="31" customFormat="false" ht="21.75" hidden="false" customHeight="true" outlineLevel="0" collapsed="false">
      <c r="A31" s="4" t="s">
        <v>592</v>
      </c>
      <c r="B31" s="30" t="n">
        <f aca="false">(06_Réel_BIC_LMNP!B31)*B9</f>
        <v>-167.332351190476</v>
      </c>
      <c r="D31" s="31" t="s">
        <v>593</v>
      </c>
    </row>
    <row r="32" customFormat="false" ht="15" hidden="false" customHeight="true" outlineLevel="0" collapsed="false">
      <c r="A32" s="4" t="s">
        <v>594</v>
      </c>
      <c r="B32" s="30" t="n">
        <f aca="false">B11+ABS(B31)</f>
        <v>-56082.6676488095</v>
      </c>
      <c r="D32" s="31" t="s">
        <v>595</v>
      </c>
    </row>
    <row r="33" customFormat="false" ht="15" hidden="false" customHeight="true" outlineLevel="0" collapsed="false">
      <c r="A33" s="4" t="s">
        <v>596</v>
      </c>
      <c r="B33" s="30" t="n">
        <f aca="false">B32*(1-B20)</f>
        <v>-56082.6676488095</v>
      </c>
      <c r="D33" s="31" t="s">
        <v>597</v>
      </c>
    </row>
    <row r="34" customFormat="false" ht="15" hidden="false" customHeight="true" outlineLevel="0" collapsed="false">
      <c r="A34" s="4" t="s">
        <v>585</v>
      </c>
      <c r="B34" s="30" t="n">
        <f aca="false">B33*0.19</f>
        <v>-10655.7068532738</v>
      </c>
    </row>
    <row r="35" customFormat="false" ht="15" hidden="false" customHeight="true" outlineLevel="0" collapsed="false">
      <c r="A35" s="4" t="s">
        <v>598</v>
      </c>
      <c r="B35" s="30" t="n">
        <f aca="false">B32*(1-B21)*0.172</f>
        <v>-9646.21883559524</v>
      </c>
    </row>
    <row r="36" customFormat="false" ht="15" hidden="false" customHeight="true" outlineLevel="0" collapsed="false">
      <c r="A36" s="4" t="s">
        <v>599</v>
      </c>
      <c r="B36" s="34" t="n">
        <f aca="false">B34+B35</f>
        <v>-20301.9256888691</v>
      </c>
    </row>
    <row r="37" customFormat="false" ht="15" hidden="false" customHeight="true" outlineLevel="0" collapsed="false">
      <c r="A37" s="4" t="s">
        <v>600</v>
      </c>
      <c r="B37" s="30" t="n">
        <f aca="false">B36-B27</f>
        <v>60.5743111309494</v>
      </c>
      <c r="D37" s="31" t="s">
        <v>601</v>
      </c>
    </row>
    <row r="39" customFormat="false" ht="15" hidden="false" customHeight="true" outlineLevel="0" collapsed="false">
      <c r="A39" s="7" t="s">
        <v>602</v>
      </c>
      <c r="B39" s="7"/>
      <c r="C39" s="7"/>
      <c r="D39" s="7"/>
      <c r="E39" s="7"/>
    </row>
    <row r="40" customFormat="false" ht="15" hidden="false" customHeight="true" outlineLevel="0" collapsed="false">
      <c r="A40" s="4" t="s">
        <v>603</v>
      </c>
      <c r="B40" s="30" t="n">
        <f aca="false">(09_SCI_IS!B20)*B9</f>
        <v>-144.475208333333</v>
      </c>
      <c r="D40" s="31" t="s">
        <v>604</v>
      </c>
    </row>
    <row r="41" customFormat="false" ht="15" hidden="false" customHeight="true" outlineLevel="0" collapsed="false">
      <c r="A41" s="4" t="s">
        <v>605</v>
      </c>
      <c r="B41" s="30" t="n">
        <f aca="false">B5-ABS(B40)</f>
        <v>249855.524791667</v>
      </c>
      <c r="D41" s="31" t="s">
        <v>606</v>
      </c>
    </row>
    <row r="42" customFormat="false" ht="15" hidden="false" customHeight="true" outlineLevel="0" collapsed="false">
      <c r="A42" s="4" t="s">
        <v>607</v>
      </c>
      <c r="B42" s="30" t="n">
        <f aca="false">B10-B41</f>
        <v>144.475208333344</v>
      </c>
      <c r="D42" s="31" t="s">
        <v>608</v>
      </c>
    </row>
    <row r="43" customFormat="false" ht="15" hidden="false" customHeight="true" outlineLevel="0" collapsed="false">
      <c r="A43" s="4" t="s">
        <v>609</v>
      </c>
      <c r="B43" s="30" t="n">
        <f aca="false">MIN(MAX(0,B42),42500)*0.15</f>
        <v>21.6712812500016</v>
      </c>
    </row>
    <row r="44" customFormat="false" ht="15" hidden="false" customHeight="true" outlineLevel="0" collapsed="false">
      <c r="A44" s="4" t="s">
        <v>610</v>
      </c>
      <c r="B44" s="30" t="n">
        <f aca="false">MAX(0,B42-42500)*0.25</f>
        <v>0</v>
      </c>
    </row>
    <row r="45" customFormat="false" ht="15" hidden="false" customHeight="true" outlineLevel="0" collapsed="false">
      <c r="A45" s="4" t="s">
        <v>611</v>
      </c>
      <c r="B45" s="30" t="n">
        <f aca="false">B43+B44</f>
        <v>21.6712812500016</v>
      </c>
    </row>
    <row r="46" customFormat="false" ht="15" hidden="false" customHeight="true" outlineLevel="0" collapsed="false">
      <c r="A46" s="4" t="s">
        <v>612</v>
      </c>
      <c r="B46" s="30" t="n">
        <f aca="false">(B42-B45)*0.314</f>
        <v>38.5604331041696</v>
      </c>
      <c r="D46" s="31" t="s">
        <v>613</v>
      </c>
    </row>
    <row r="47" customFormat="false" ht="15" hidden="false" customHeight="true" outlineLevel="0" collapsed="false">
      <c r="A47" s="4" t="s">
        <v>614</v>
      </c>
      <c r="B47" s="34" t="n">
        <f aca="false">B45+B46</f>
        <v>60.2317143541712</v>
      </c>
    </row>
    <row r="48" customFormat="false" ht="15" hidden="false" customHeight="true" outlineLevel="0" collapsed="false">
      <c r="A48" s="4" t="s">
        <v>615</v>
      </c>
      <c r="B48" s="30" t="n">
        <f aca="false">B47-B27</f>
        <v>20422.7317143542</v>
      </c>
      <c r="D48" s="31" t="s">
        <v>616</v>
      </c>
    </row>
    <row r="50" customFormat="false" ht="15" hidden="false" customHeight="true" outlineLevel="0" collapsed="false">
      <c r="A50" s="7" t="s">
        <v>617</v>
      </c>
      <c r="B50" s="7"/>
      <c r="C50" s="7"/>
      <c r="D50" s="7"/>
      <c r="E50" s="7"/>
    </row>
    <row r="51" customFormat="false" ht="15" hidden="false" customHeight="true" outlineLevel="0" collapsed="false">
      <c r="A51" s="42" t="s">
        <v>618</v>
      </c>
      <c r="B51" s="42"/>
      <c r="C51" s="42"/>
      <c r="D51" s="42"/>
      <c r="E51" s="42"/>
    </row>
    <row r="52" customFormat="false" ht="15" hidden="false" customHeight="true" outlineLevel="0" collapsed="false">
      <c r="A52" s="42" t="s">
        <v>619</v>
      </c>
      <c r="B52" s="42"/>
      <c r="C52" s="42"/>
      <c r="D52" s="42"/>
      <c r="E52" s="42"/>
    </row>
    <row r="53" customFormat="false" ht="15" hidden="false" customHeight="true" outlineLevel="0" collapsed="false">
      <c r="A53" s="42" t="s">
        <v>620</v>
      </c>
      <c r="B53" s="42"/>
      <c r="C53" s="42"/>
      <c r="D53" s="42"/>
      <c r="E53" s="42"/>
    </row>
    <row r="54" customFormat="false" ht="15" hidden="false" customHeight="true" outlineLevel="0" collapsed="false">
      <c r="A54" s="42" t="s">
        <v>621</v>
      </c>
      <c r="B54" s="42"/>
      <c r="C54" s="42"/>
      <c r="D54" s="42"/>
      <c r="E54" s="42"/>
    </row>
    <row r="55" customFormat="false" ht="15" hidden="false" customHeight="true" outlineLevel="0" collapsed="false">
      <c r="A55" s="42" t="s">
        <v>622</v>
      </c>
      <c r="B55" s="42"/>
      <c r="C55" s="42"/>
      <c r="D55" s="42"/>
      <c r="E55" s="42"/>
    </row>
  </sheetData>
  <mergeCells count="12">
    <mergeCell ref="A1:E1"/>
    <mergeCell ref="A2:E2"/>
    <mergeCell ref="A4:E4"/>
    <mergeCell ref="A13:E13"/>
    <mergeCell ref="A30:E30"/>
    <mergeCell ref="A39:E39"/>
    <mergeCell ref="A50:E50"/>
    <mergeCell ref="A51:E51"/>
    <mergeCell ref="A52:E52"/>
    <mergeCell ref="A53:E53"/>
    <mergeCell ref="A54:E54"/>
    <mergeCell ref="A55:E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6"/>
  </cols>
  <sheetData>
    <row r="1" customFormat="false" ht="24.75" hidden="false" customHeight="true" outlineLevel="0" collapsed="false">
      <c r="A1" s="2" t="s">
        <v>623</v>
      </c>
      <c r="B1" s="2"/>
      <c r="C1" s="2"/>
      <c r="D1" s="2"/>
      <c r="E1" s="2"/>
    </row>
    <row r="2" customFormat="false" ht="15" hidden="false" customHeight="true" outlineLevel="0" collapsed="false">
      <c r="A2" s="3" t="s">
        <v>624</v>
      </c>
      <c r="B2" s="3"/>
      <c r="C2" s="3"/>
      <c r="D2" s="3"/>
      <c r="E2" s="3"/>
    </row>
    <row r="4" customFormat="false" ht="34.5" hidden="false" customHeight="true" outlineLevel="0" collapsed="false">
      <c r="A4" s="49" t="s">
        <v>625</v>
      </c>
      <c r="B4" s="49" t="s">
        <v>626</v>
      </c>
      <c r="C4" s="49" t="s">
        <v>627</v>
      </c>
      <c r="D4" s="49" t="s">
        <v>628</v>
      </c>
      <c r="E4" s="49" t="s">
        <v>629</v>
      </c>
      <c r="F4" s="49" t="s">
        <v>630</v>
      </c>
      <c r="G4" s="49" t="s">
        <v>631</v>
      </c>
    </row>
    <row r="5" customFormat="false" ht="15" hidden="false" customHeight="true" outlineLevel="0" collapsed="false">
      <c r="A5" s="50" t="s">
        <v>229</v>
      </c>
      <c r="B5" s="51" t="n">
        <f aca="false">02_Inputs_simulation!$B$25</f>
        <v>13200</v>
      </c>
      <c r="C5" s="51" t="n">
        <f aca="false">02_Inputs_simulation!$B$25</f>
        <v>13200</v>
      </c>
      <c r="D5" s="51" t="n">
        <f aca="false">02_Inputs_simulation!$B$25</f>
        <v>13200</v>
      </c>
      <c r="E5" s="51" t="n">
        <f aca="false">02_Inputs_simulation!$B$25</f>
        <v>13200</v>
      </c>
      <c r="F5" s="51" t="n">
        <f aca="false">02_Inputs_simulation!$B$25</f>
        <v>13200</v>
      </c>
      <c r="G5" s="51" t="n">
        <f aca="false">02_Inputs_simulation!$B$25</f>
        <v>13200</v>
      </c>
    </row>
    <row r="6" customFormat="false" ht="15" hidden="false" customHeight="true" outlineLevel="0" collapsed="false">
      <c r="A6" s="50" t="s">
        <v>632</v>
      </c>
      <c r="B6" s="51" t="n">
        <f aca="false">03_Micro_foncier!B7</f>
        <v>12672</v>
      </c>
      <c r="C6" s="51" t="n">
        <f aca="false">04_Réel_foncier!B7</f>
        <v>12672</v>
      </c>
      <c r="D6" s="51" t="n">
        <f aca="false">05_Micro_BIC_LMNP!B7</f>
        <v>12672</v>
      </c>
      <c r="E6" s="51" t="n">
        <f aca="false">06_Réel_BIC_LMNP!B7</f>
        <v>12672</v>
      </c>
      <c r="F6" s="51" t="n">
        <f aca="false">08_SCI_IR!B12+08_SCI_IR!B13</f>
        <v>12672</v>
      </c>
      <c r="G6" s="51" t="n">
        <f aca="false">09_SCI_IS!B5+09_SCI_IS!B6</f>
        <v>12672</v>
      </c>
    </row>
    <row r="7" customFormat="false" ht="15" hidden="false" customHeight="true" outlineLevel="0" collapsed="false">
      <c r="A7" s="50" t="s">
        <v>633</v>
      </c>
      <c r="B7" s="51" t="n">
        <f aca="false">03_Micro_foncier!B9</f>
        <v>-3801.6</v>
      </c>
      <c r="C7" s="51" t="n">
        <f aca="false">04_Réel_foncier!B17</f>
        <v>-13809</v>
      </c>
      <c r="D7" s="51" t="n">
        <f aca="false">05_Micro_BIC_LMNP!B12</f>
        <v>-6336</v>
      </c>
      <c r="E7" s="51" t="n">
        <f aca="false">06_Réel_BIC_LMNP!B18</f>
        <v>-14689</v>
      </c>
      <c r="F7" s="51" t="n">
        <f aca="false">SUM(08_SCI_IR!B14:B16)</f>
        <v>-14389</v>
      </c>
      <c r="G7" s="51" t="n">
        <f aca="false">SUM(09_SCI_IS!B7:B9)</f>
        <v>-15289</v>
      </c>
    </row>
    <row r="8" customFormat="false" ht="15" hidden="false" customHeight="true" outlineLevel="0" collapsed="false">
      <c r="A8" s="50" t="s">
        <v>407</v>
      </c>
      <c r="B8" s="51" t="s">
        <v>634</v>
      </c>
      <c r="C8" s="51" t="s">
        <v>634</v>
      </c>
      <c r="D8" s="51" t="s">
        <v>634</v>
      </c>
      <c r="E8" s="51" t="n">
        <f aca="false">06_Réel_BIC_LMNP!B31</f>
        <v>-8366.61755952381</v>
      </c>
      <c r="F8" s="51" t="s">
        <v>634</v>
      </c>
      <c r="G8" s="51" t="n">
        <f aca="false">09_SCI_IS!B20</f>
        <v>-7223.76041666667</v>
      </c>
    </row>
    <row r="9" customFormat="false" ht="15" hidden="false" customHeight="true" outlineLevel="0" collapsed="false">
      <c r="A9" s="50" t="s">
        <v>410</v>
      </c>
      <c r="B9" s="51" t="n">
        <f aca="false">03_Micro_foncier!B10</f>
        <v>8870.4</v>
      </c>
      <c r="C9" s="51" t="n">
        <f aca="false">04_Réel_foncier!B26</f>
        <v>0</v>
      </c>
      <c r="D9" s="51" t="n">
        <f aca="false">05_Micro_BIC_LMNP!B13</f>
        <v>6336</v>
      </c>
      <c r="E9" s="51" t="n">
        <f aca="false">06_Réel_BIC_LMNP!B39</f>
        <v>0</v>
      </c>
      <c r="F9" s="51" t="n">
        <f aca="false">08_SCI_IR!B21</f>
        <v>-1717</v>
      </c>
      <c r="G9" s="51" t="n">
        <f aca="false">09_SCI_IS!B24</f>
        <v>0</v>
      </c>
    </row>
    <row r="10" customFormat="false" ht="15" hidden="false" customHeight="true" outlineLevel="0" collapsed="false">
      <c r="A10" s="50" t="s">
        <v>635</v>
      </c>
      <c r="B10" s="51" t="n">
        <f aca="false">03_Micro_foncier!B14</f>
        <v>2661.12</v>
      </c>
      <c r="C10" s="51" t="n">
        <f aca="false">04_Réel_foncier!B30</f>
        <v>0</v>
      </c>
      <c r="D10" s="51" t="n">
        <f aca="false">05_Micro_BIC_LMNP!B17</f>
        <v>1900.8</v>
      </c>
      <c r="E10" s="51" t="n">
        <f aca="false">06_Réel_BIC_LMNP!B43</f>
        <v>0</v>
      </c>
      <c r="F10" s="51" t="n">
        <f aca="false">08_SCI_IR!B25</f>
        <v>0</v>
      </c>
      <c r="G10" s="51" t="n">
        <f aca="false">09_SCI_IS!B30</f>
        <v>0</v>
      </c>
    </row>
    <row r="11" customFormat="false" ht="15" hidden="false" customHeight="true" outlineLevel="0" collapsed="false">
      <c r="A11" s="50" t="s">
        <v>636</v>
      </c>
      <c r="B11" s="51" t="n">
        <f aca="false">03_Micro_foncier!B18</f>
        <v>1525.7088</v>
      </c>
      <c r="C11" s="51" t="n">
        <f aca="false">04_Réel_foncier!B32</f>
        <v>0</v>
      </c>
      <c r="D11" s="51" t="n">
        <f aca="false">05_Micro_BIC_LMNP!B21</f>
        <v>1178.496</v>
      </c>
      <c r="E11" s="51" t="n">
        <f aca="false">06_Réel_BIC_LMNP!B44</f>
        <v>0</v>
      </c>
      <c r="F11" s="51" t="n">
        <f aca="false">08_SCI_IR!B26</f>
        <v>0</v>
      </c>
      <c r="G11" s="51" t="n">
        <f aca="false">09_SCI_IS!B37</f>
        <v>0</v>
      </c>
    </row>
    <row r="12" customFormat="false" ht="15" hidden="false" customHeight="true" outlineLevel="0" collapsed="false">
      <c r="A12" s="52" t="s">
        <v>637</v>
      </c>
      <c r="B12" s="53" t="n">
        <f aca="false">03_Micro_foncier!B21</f>
        <v>4186.8288</v>
      </c>
      <c r="C12" s="53" t="n">
        <f aca="false">04_Réel_foncier!B36</f>
        <v>-3210</v>
      </c>
      <c r="D12" s="53" t="n">
        <f aca="false">05_Micro_BIC_LMNP!B24</f>
        <v>3079.296</v>
      </c>
      <c r="E12" s="53" t="n">
        <f aca="false">06_Réel_BIC_LMNP!B45</f>
        <v>0</v>
      </c>
      <c r="F12" s="53" t="n">
        <f aca="false">08_SCI_IR!B28</f>
        <v>-515.1</v>
      </c>
      <c r="G12" s="53" t="n">
        <f aca="false">09_SCI_IS!B43</f>
        <v>0</v>
      </c>
    </row>
    <row r="13" customFormat="false" ht="15" hidden="false" customHeight="true" outlineLevel="0" collapsed="false">
      <c r="A13" s="52" t="s">
        <v>378</v>
      </c>
      <c r="B13" s="54" t="n">
        <f aca="false">03_Micro_foncier!B22</f>
        <v>0.3304</v>
      </c>
      <c r="C13" s="54" t="n">
        <f aca="false">04_Réel_foncier!B37</f>
        <v>-0.253314393939394</v>
      </c>
      <c r="D13" s="54" t="n">
        <f aca="false">05_Micro_BIC_LMNP!B25</f>
        <v>0.243</v>
      </c>
      <c r="E13" s="54" t="n">
        <f aca="false">06_Réel_BIC_LMNP!B46</f>
        <v>0</v>
      </c>
      <c r="F13" s="54" t="n">
        <f aca="false">IF(08_SCI_IR!B12&gt;0,08_SCI_IR!B28/08_SCI_IR!B12,0)</f>
        <v>-0.0390227272727273</v>
      </c>
      <c r="G13" s="54" t="n">
        <f aca="false">09_SCI_IS!B44</f>
        <v>0</v>
      </c>
    </row>
    <row r="15" customFormat="false" ht="26.25" hidden="false" customHeight="true" outlineLevel="0" collapsed="false">
      <c r="A15" s="55" t="s">
        <v>638</v>
      </c>
      <c r="B15" s="56" t="str">
        <f aca="false">INDEX($B$4:$G$4,MATCH(MIN(B12:G12),B12:G12,0))</f>
        <v>Réel foncier
(loc. nue)</v>
      </c>
      <c r="C15" s="56"/>
      <c r="D15" s="56"/>
      <c r="E15" s="56"/>
      <c r="F15" s="56"/>
      <c r="G15" s="56"/>
    </row>
    <row r="17" customFormat="false" ht="15" hidden="false" customHeight="true" outlineLevel="0" collapsed="false">
      <c r="A17" s="7" t="s">
        <v>639</v>
      </c>
      <c r="B17" s="7"/>
      <c r="C17" s="7"/>
      <c r="D17" s="7"/>
      <c r="E17" s="7"/>
    </row>
    <row r="18" customFormat="false" ht="26.25" hidden="false" customHeight="true" outlineLevel="0" collapsed="false">
      <c r="A18" s="8" t="s">
        <v>640</v>
      </c>
      <c r="B18" s="8" t="s">
        <v>641</v>
      </c>
    </row>
    <row r="19" customFormat="false" ht="15" hidden="false" customHeight="true" outlineLevel="0" collapsed="false">
      <c r="A19" s="13" t="s">
        <v>642</v>
      </c>
      <c r="B19" s="57" t="s">
        <v>105</v>
      </c>
      <c r="C19" s="57"/>
      <c r="D19" s="57"/>
      <c r="E19" s="57"/>
      <c r="F19" s="57"/>
      <c r="G19" s="57"/>
    </row>
    <row r="20" customFormat="false" ht="23.25" hidden="false" customHeight="true" outlineLevel="0" collapsed="false">
      <c r="A20" s="13" t="s">
        <v>643</v>
      </c>
      <c r="B20" s="57" t="s">
        <v>644</v>
      </c>
      <c r="C20" s="57"/>
      <c r="D20" s="57"/>
      <c r="E20" s="57"/>
      <c r="F20" s="57"/>
      <c r="G20" s="57"/>
    </row>
    <row r="21" customFormat="false" ht="15" hidden="false" customHeight="true" outlineLevel="0" collapsed="false">
      <c r="A21" s="13" t="s">
        <v>645</v>
      </c>
      <c r="B21" s="57" t="s">
        <v>646</v>
      </c>
      <c r="C21" s="57"/>
      <c r="D21" s="57"/>
      <c r="E21" s="57"/>
      <c r="F21" s="57"/>
      <c r="G21" s="57"/>
    </row>
    <row r="22" customFormat="false" ht="15" hidden="false" customHeight="true" outlineLevel="0" collapsed="false">
      <c r="A22" s="13" t="s">
        <v>647</v>
      </c>
      <c r="B22" s="57" t="s">
        <v>648</v>
      </c>
      <c r="C22" s="57"/>
      <c r="D22" s="57"/>
      <c r="E22" s="57"/>
      <c r="F22" s="57"/>
      <c r="G22" s="57"/>
    </row>
    <row r="23" customFormat="false" ht="15" hidden="false" customHeight="true" outlineLevel="0" collapsed="false">
      <c r="A23" s="13" t="s">
        <v>649</v>
      </c>
      <c r="B23" s="57" t="s">
        <v>650</v>
      </c>
      <c r="C23" s="57"/>
      <c r="D23" s="57"/>
      <c r="E23" s="57"/>
      <c r="F23" s="57"/>
      <c r="G23" s="57"/>
    </row>
    <row r="24" customFormat="false" ht="15" hidden="false" customHeight="true" outlineLevel="0" collapsed="false">
      <c r="A24" s="13" t="s">
        <v>651</v>
      </c>
      <c r="B24" s="57" t="s">
        <v>652</v>
      </c>
      <c r="C24" s="57"/>
      <c r="D24" s="57"/>
      <c r="E24" s="57"/>
      <c r="F24" s="57"/>
      <c r="G24" s="57"/>
    </row>
    <row r="25" customFormat="false" ht="15" hidden="false" customHeight="true" outlineLevel="0" collapsed="false">
      <c r="A25" s="13" t="s">
        <v>653</v>
      </c>
      <c r="B25" s="57" t="s">
        <v>654</v>
      </c>
      <c r="C25" s="57"/>
      <c r="D25" s="57"/>
      <c r="E25" s="57"/>
      <c r="F25" s="57"/>
      <c r="G25" s="57"/>
    </row>
    <row r="26" customFormat="false" ht="23.25" hidden="false" customHeight="true" outlineLevel="0" collapsed="false">
      <c r="A26" s="13" t="s">
        <v>655</v>
      </c>
      <c r="B26" s="57" t="s">
        <v>35</v>
      </c>
      <c r="C26" s="57"/>
      <c r="D26" s="57"/>
      <c r="E26" s="57"/>
      <c r="F26" s="57"/>
      <c r="G26" s="57"/>
    </row>
    <row r="27" customFormat="false" ht="15" hidden="false" customHeight="true" outlineLevel="0" collapsed="false">
      <c r="A27" s="13" t="s">
        <v>656</v>
      </c>
      <c r="B27" s="57" t="s">
        <v>657</v>
      </c>
      <c r="C27" s="57"/>
      <c r="D27" s="57"/>
      <c r="E27" s="57"/>
      <c r="F27" s="57"/>
      <c r="G27" s="57"/>
    </row>
    <row r="28" customFormat="false" ht="15" hidden="false" customHeight="true" outlineLevel="0" collapsed="false">
      <c r="A28" s="13" t="s">
        <v>658</v>
      </c>
      <c r="B28" s="57" t="s">
        <v>659</v>
      </c>
      <c r="C28" s="57"/>
      <c r="D28" s="57"/>
      <c r="E28" s="57"/>
      <c r="F28" s="57"/>
      <c r="G28" s="57"/>
    </row>
  </sheetData>
  <mergeCells count="14">
    <mergeCell ref="A1:E1"/>
    <mergeCell ref="A2:E2"/>
    <mergeCell ref="B15:G15"/>
    <mergeCell ref="A17:E17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5"/>
    <col collapsed="false" customWidth="true" hidden="false" outlineLevel="0" max="3" min="3" style="1" width="60"/>
    <col collapsed="false" customWidth="true" hidden="false" outlineLevel="0" max="5" min="4" style="1" width="4"/>
  </cols>
  <sheetData>
    <row r="1" customFormat="false" ht="24.75" hidden="false" customHeight="true" outlineLevel="0" collapsed="false">
      <c r="A1" s="2" t="s">
        <v>660</v>
      </c>
      <c r="B1" s="2"/>
      <c r="C1" s="2"/>
      <c r="D1" s="2"/>
      <c r="E1" s="2"/>
    </row>
    <row r="2" customFormat="false" ht="15" hidden="false" customHeight="true" outlineLevel="0" collapsed="false">
      <c r="A2" s="3" t="s">
        <v>661</v>
      </c>
      <c r="B2" s="3"/>
      <c r="C2" s="3"/>
      <c r="D2" s="3"/>
      <c r="E2" s="3"/>
    </row>
    <row r="4" customFormat="false" ht="15" hidden="false" customHeight="true" outlineLevel="0" collapsed="false">
      <c r="A4" s="7" t="s">
        <v>662</v>
      </c>
      <c r="B4" s="7"/>
      <c r="C4" s="7"/>
      <c r="D4" s="7"/>
      <c r="E4" s="7"/>
    </row>
    <row r="5" customFormat="false" ht="15" hidden="false" customHeight="true" outlineLevel="0" collapsed="false">
      <c r="A5" s="8" t="s">
        <v>663</v>
      </c>
      <c r="B5" s="8" t="s">
        <v>664</v>
      </c>
      <c r="C5" s="8" t="s">
        <v>665</v>
      </c>
    </row>
    <row r="6" customFormat="false" ht="23.25" hidden="false" customHeight="true" outlineLevel="0" collapsed="false">
      <c r="A6" s="13" t="s">
        <v>666</v>
      </c>
      <c r="B6" s="13" t="s">
        <v>667</v>
      </c>
      <c r="C6" s="13" t="s">
        <v>668</v>
      </c>
    </row>
    <row r="7" customFormat="false" ht="15" hidden="false" customHeight="true" outlineLevel="0" collapsed="false">
      <c r="A7" s="13" t="s">
        <v>669</v>
      </c>
      <c r="B7" s="13" t="s">
        <v>670</v>
      </c>
      <c r="C7" s="13" t="s">
        <v>671</v>
      </c>
    </row>
    <row r="8" customFormat="false" ht="15" hidden="false" customHeight="true" outlineLevel="0" collapsed="false">
      <c r="A8" s="13" t="s">
        <v>672</v>
      </c>
      <c r="B8" s="13" t="s">
        <v>673</v>
      </c>
      <c r="C8" s="13" t="s">
        <v>674</v>
      </c>
    </row>
    <row r="9" customFormat="false" ht="15" hidden="false" customHeight="true" outlineLevel="0" collapsed="false">
      <c r="A9" s="13" t="s">
        <v>675</v>
      </c>
      <c r="B9" s="13" t="s">
        <v>676</v>
      </c>
      <c r="C9" s="13" t="s">
        <v>677</v>
      </c>
    </row>
    <row r="10" customFormat="false" ht="15" hidden="false" customHeight="true" outlineLevel="0" collapsed="false">
      <c r="A10" s="13" t="s">
        <v>678</v>
      </c>
      <c r="B10" s="13" t="s">
        <v>679</v>
      </c>
      <c r="C10" s="13" t="s">
        <v>680</v>
      </c>
    </row>
    <row r="11" customFormat="false" ht="15" hidden="false" customHeight="true" outlineLevel="0" collapsed="false">
      <c r="A11" s="13" t="s">
        <v>681</v>
      </c>
      <c r="B11" s="13" t="s">
        <v>682</v>
      </c>
      <c r="C11" s="13" t="s">
        <v>683</v>
      </c>
    </row>
    <row r="12" customFormat="false" ht="15" hidden="false" customHeight="true" outlineLevel="0" collapsed="false">
      <c r="A12" s="13" t="s">
        <v>684</v>
      </c>
      <c r="B12" s="13" t="s">
        <v>685</v>
      </c>
      <c r="C12" s="13" t="s">
        <v>686</v>
      </c>
    </row>
    <row r="13" customFormat="false" ht="15" hidden="false" customHeight="true" outlineLevel="0" collapsed="false">
      <c r="A13" s="13" t="s">
        <v>687</v>
      </c>
      <c r="B13" s="13" t="s">
        <v>688</v>
      </c>
      <c r="C13" s="13" t="s">
        <v>689</v>
      </c>
    </row>
    <row r="14" customFormat="false" ht="15" hidden="false" customHeight="true" outlineLevel="0" collapsed="false">
      <c r="A14" s="13" t="s">
        <v>231</v>
      </c>
      <c r="B14" s="13" t="s">
        <v>690</v>
      </c>
      <c r="C14" s="13" t="s">
        <v>691</v>
      </c>
    </row>
    <row r="17" customFormat="false" ht="15" hidden="false" customHeight="true" outlineLevel="0" collapsed="false">
      <c r="A17" s="7" t="s">
        <v>692</v>
      </c>
      <c r="B17" s="7"/>
      <c r="C17" s="7"/>
      <c r="D17" s="7"/>
      <c r="E17" s="7"/>
    </row>
    <row r="18" customFormat="false" ht="15" hidden="false" customHeight="true" outlineLevel="0" collapsed="false">
      <c r="A18" s="58" t="s">
        <v>693</v>
      </c>
      <c r="B18" s="58" t="s">
        <v>694</v>
      </c>
      <c r="C18" s="58" t="s">
        <v>695</v>
      </c>
    </row>
    <row r="19" customFormat="false" ht="23.25" hidden="false" customHeight="true" outlineLevel="0" collapsed="false">
      <c r="A19" s="13" t="s">
        <v>696</v>
      </c>
      <c r="B19" s="13" t="s">
        <v>697</v>
      </c>
      <c r="C19" s="13" t="s">
        <v>698</v>
      </c>
    </row>
    <row r="20" customFormat="false" ht="15" hidden="false" customHeight="true" outlineLevel="0" collapsed="false">
      <c r="A20" s="13" t="s">
        <v>699</v>
      </c>
      <c r="B20" s="13" t="s">
        <v>700</v>
      </c>
      <c r="C20" s="13" t="s">
        <v>701</v>
      </c>
    </row>
    <row r="21" customFormat="false" ht="23.25" hidden="false" customHeight="true" outlineLevel="0" collapsed="false">
      <c r="A21" s="13" t="s">
        <v>702</v>
      </c>
      <c r="B21" s="13" t="s">
        <v>703</v>
      </c>
      <c r="C21" s="13" t="s">
        <v>704</v>
      </c>
    </row>
    <row r="22" customFormat="false" ht="15" hidden="false" customHeight="true" outlineLevel="0" collapsed="false">
      <c r="A22" s="13" t="s">
        <v>705</v>
      </c>
      <c r="B22" s="13" t="s">
        <v>706</v>
      </c>
      <c r="C22" s="13" t="s">
        <v>707</v>
      </c>
    </row>
    <row r="23" customFormat="false" ht="15" hidden="false" customHeight="true" outlineLevel="0" collapsed="false">
      <c r="A23" s="13" t="s">
        <v>708</v>
      </c>
      <c r="B23" s="13" t="s">
        <v>709</v>
      </c>
      <c r="C23" s="13" t="s">
        <v>710</v>
      </c>
    </row>
    <row r="24" customFormat="false" ht="15" hidden="false" customHeight="true" outlineLevel="0" collapsed="false">
      <c r="A24" s="13" t="s">
        <v>711</v>
      </c>
      <c r="B24" s="13" t="s">
        <v>709</v>
      </c>
      <c r="C24" s="13" t="s">
        <v>712</v>
      </c>
    </row>
    <row r="25" customFormat="false" ht="15" hidden="false" customHeight="true" outlineLevel="0" collapsed="false">
      <c r="A25" s="13" t="s">
        <v>713</v>
      </c>
      <c r="B25" s="13" t="s">
        <v>709</v>
      </c>
      <c r="C25" s="13" t="s">
        <v>714</v>
      </c>
    </row>
    <row r="26" customFormat="false" ht="15" hidden="false" customHeight="true" outlineLevel="0" collapsed="false">
      <c r="A26" s="13" t="s">
        <v>715</v>
      </c>
      <c r="B26" s="13" t="s">
        <v>709</v>
      </c>
      <c r="C26" s="13" t="s">
        <v>716</v>
      </c>
    </row>
    <row r="27" customFormat="false" ht="15" hidden="false" customHeight="true" outlineLevel="0" collapsed="false">
      <c r="A27" s="13" t="s">
        <v>717</v>
      </c>
      <c r="B27" s="13" t="s">
        <v>709</v>
      </c>
      <c r="C27" s="13" t="s">
        <v>718</v>
      </c>
    </row>
    <row r="28" customFormat="false" ht="15" hidden="false" customHeight="true" outlineLevel="0" collapsed="false">
      <c r="A28" s="13" t="s">
        <v>719</v>
      </c>
      <c r="B28" s="13" t="s">
        <v>709</v>
      </c>
      <c r="C28" s="13" t="s">
        <v>720</v>
      </c>
    </row>
    <row r="29" customFormat="false" ht="15" hidden="false" customHeight="true" outlineLevel="0" collapsed="false">
      <c r="A29" s="13" t="s">
        <v>721</v>
      </c>
      <c r="B29" s="13" t="s">
        <v>709</v>
      </c>
      <c r="C29" s="13" t="s">
        <v>722</v>
      </c>
    </row>
    <row r="30" customFormat="false" ht="15" hidden="false" customHeight="true" outlineLevel="0" collapsed="false">
      <c r="A30" s="13" t="s">
        <v>723</v>
      </c>
      <c r="B30" s="13" t="s">
        <v>724</v>
      </c>
      <c r="C30" s="13" t="s">
        <v>725</v>
      </c>
    </row>
    <row r="33" customFormat="false" ht="15" hidden="false" customHeight="true" outlineLevel="0" collapsed="false">
      <c r="A33" s="7" t="s">
        <v>726</v>
      </c>
      <c r="B33" s="7"/>
      <c r="C33" s="7"/>
      <c r="D33" s="7"/>
      <c r="E33" s="7"/>
    </row>
    <row r="34" customFormat="false" ht="15" hidden="false" customHeight="true" outlineLevel="0" collapsed="false">
      <c r="A34" s="42" t="s">
        <v>727</v>
      </c>
      <c r="B34" s="42"/>
      <c r="C34" s="42"/>
      <c r="D34" s="42"/>
      <c r="E34" s="42"/>
    </row>
    <row r="35" customFormat="false" ht="15" hidden="false" customHeight="true" outlineLevel="0" collapsed="false">
      <c r="A35" s="42" t="s">
        <v>728</v>
      </c>
      <c r="B35" s="42"/>
      <c r="C35" s="42"/>
      <c r="D35" s="42"/>
      <c r="E35" s="42"/>
    </row>
    <row r="36" customFormat="false" ht="15" hidden="false" customHeight="true" outlineLevel="0" collapsed="false">
      <c r="A36" s="42" t="s">
        <v>729</v>
      </c>
      <c r="B36" s="42"/>
      <c r="C36" s="42"/>
      <c r="D36" s="42"/>
      <c r="E36" s="42"/>
    </row>
    <row r="37" customFormat="false" ht="15" hidden="false" customHeight="true" outlineLevel="0" collapsed="false">
      <c r="A37" s="42" t="s">
        <v>730</v>
      </c>
      <c r="B37" s="42"/>
      <c r="C37" s="42"/>
      <c r="D37" s="42"/>
      <c r="E37" s="42"/>
    </row>
    <row r="38" customFormat="false" ht="15" hidden="false" customHeight="true" outlineLevel="0" collapsed="false">
      <c r="A38" s="42" t="s">
        <v>731</v>
      </c>
      <c r="B38" s="42"/>
      <c r="C38" s="42"/>
      <c r="D38" s="42"/>
      <c r="E38" s="42"/>
    </row>
    <row r="39" customFormat="false" ht="15" hidden="false" customHeight="true" outlineLevel="0" collapsed="false">
      <c r="A39" s="42" t="s">
        <v>732</v>
      </c>
      <c r="B39" s="42"/>
      <c r="C39" s="42"/>
      <c r="D39" s="42"/>
      <c r="E39" s="42"/>
    </row>
    <row r="40" customFormat="false" ht="15" hidden="false" customHeight="true" outlineLevel="0" collapsed="false">
      <c r="A40" s="42" t="s">
        <v>733</v>
      </c>
      <c r="B40" s="42"/>
      <c r="C40" s="42"/>
      <c r="D40" s="42"/>
      <c r="E40" s="42"/>
    </row>
    <row r="41" customFormat="false" ht="15" hidden="false" customHeight="true" outlineLevel="0" collapsed="false">
      <c r="A41" s="42" t="s">
        <v>734</v>
      </c>
      <c r="B41" s="42"/>
      <c r="C41" s="42"/>
      <c r="D41" s="42"/>
      <c r="E41" s="42"/>
    </row>
    <row r="42" customFormat="false" ht="15" hidden="false" customHeight="true" outlineLevel="0" collapsed="false">
      <c r="A42" s="42" t="s">
        <v>735</v>
      </c>
      <c r="B42" s="42"/>
      <c r="C42" s="42"/>
      <c r="D42" s="42"/>
      <c r="E42" s="42"/>
    </row>
    <row r="43" customFormat="false" ht="15" hidden="false" customHeight="true" outlineLevel="0" collapsed="false">
      <c r="A43" s="42" t="s">
        <v>736</v>
      </c>
      <c r="B43" s="42"/>
      <c r="C43" s="42"/>
      <c r="D43" s="42"/>
      <c r="E43" s="42"/>
    </row>
  </sheetData>
  <mergeCells count="15">
    <mergeCell ref="A1:E1"/>
    <mergeCell ref="A2:E2"/>
    <mergeCell ref="A4:E4"/>
    <mergeCell ref="A17:E17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2026-04-29T17:34:35Z</dcterms:created>
  <dc:creator>openpyxl</dc:creator>
  <dc:description/>
  <dc:language>en-US</dc:language>
  <cp:lastModifiedBy/>
  <dcterms:modified xsi:type="dcterms:W3CDTF">2026-04-29T17:41:45Z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